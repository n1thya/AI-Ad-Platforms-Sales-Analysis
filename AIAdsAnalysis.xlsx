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/>
  <xr:revisionPtr revIDLastSave="8" documentId="11_FD9A5A06528F7972D4F1AC8FE53D901B2A29CB9D" xr6:coauthVersionLast="47" xr6:coauthVersionMax="47" xr10:uidLastSave="{2E1225C5-B6CE-4E88-83BC-22E1137CEED3}"/>
  <bookViews>
    <workbookView xWindow="0" yWindow="0" windowWidth="16384" windowHeight="8192" tabRatio="500" activeTab="2" xr2:uid="{00000000-000D-0000-FFFF-FFFF00000000}"/>
  </bookViews>
  <sheets>
    <sheet name="Summary" sheetId="1" r:id="rId1"/>
    <sheet name="Raw Data" sheetId="2" r:id="rId2"/>
    <sheet name="Analysis" sheetId="3" r:id="rId3"/>
    <sheet name="Pinterest Regions" sheetId="4" r:id="rId4"/>
    <sheet name="Sources" sheetId="5" r:id="rId5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2" i="4" l="1"/>
  <c r="H12" i="4"/>
  <c r="E12" i="4"/>
  <c r="G12" i="4" s="1"/>
  <c r="I11" i="4"/>
  <c r="H11" i="4"/>
  <c r="E11" i="4"/>
  <c r="G11" i="4" s="1"/>
  <c r="I10" i="4"/>
  <c r="H10" i="4"/>
  <c r="E10" i="4"/>
  <c r="G10" i="4" s="1"/>
  <c r="I9" i="4"/>
  <c r="H9" i="4"/>
  <c r="E9" i="4"/>
  <c r="G9" i="4" s="1"/>
  <c r="E8" i="4"/>
  <c r="G8" i="4" s="1"/>
  <c r="E7" i="4"/>
  <c r="G7" i="4" s="1"/>
  <c r="E6" i="4"/>
  <c r="G6" i="4" s="1"/>
  <c r="E5" i="4"/>
  <c r="J59" i="3"/>
  <c r="J58" i="3"/>
  <c r="J57" i="3"/>
  <c r="J56" i="3"/>
  <c r="D50" i="3"/>
  <c r="C50" i="3"/>
  <c r="B50" i="3"/>
  <c r="D49" i="3"/>
  <c r="C49" i="3"/>
  <c r="B49" i="3"/>
  <c r="D48" i="3"/>
  <c r="C48" i="3"/>
  <c r="B48" i="3"/>
  <c r="D47" i="3"/>
  <c r="C47" i="3"/>
  <c r="B47" i="3"/>
  <c r="D46" i="3"/>
  <c r="C46" i="3"/>
  <c r="B46" i="3"/>
  <c r="D45" i="3"/>
  <c r="C45" i="3"/>
  <c r="B45" i="3"/>
  <c r="D44" i="3"/>
  <c r="C44" i="3"/>
  <c r="B44" i="3"/>
  <c r="D43" i="3"/>
  <c r="C43" i="3"/>
  <c r="B43" i="3"/>
  <c r="K14" i="3"/>
  <c r="J14" i="3"/>
  <c r="I14" i="3"/>
  <c r="H14" i="3"/>
  <c r="E14" i="3"/>
  <c r="D14" i="3"/>
  <c r="C14" i="3"/>
  <c r="B14" i="3"/>
  <c r="K13" i="3"/>
  <c r="J13" i="3"/>
  <c r="I13" i="3"/>
  <c r="H13" i="3"/>
  <c r="E13" i="3"/>
  <c r="D13" i="3"/>
  <c r="C13" i="3"/>
  <c r="B13" i="3"/>
  <c r="K12" i="3"/>
  <c r="J12" i="3"/>
  <c r="I12" i="3"/>
  <c r="H12" i="3"/>
  <c r="E12" i="3"/>
  <c r="D12" i="3"/>
  <c r="C12" i="3"/>
  <c r="B12" i="3"/>
  <c r="K11" i="3"/>
  <c r="J11" i="3"/>
  <c r="I11" i="3"/>
  <c r="H11" i="3"/>
  <c r="E11" i="3"/>
  <c r="D11" i="3"/>
  <c r="C11" i="3"/>
  <c r="B11" i="3"/>
  <c r="K10" i="3"/>
  <c r="J10" i="3"/>
  <c r="I10" i="3"/>
  <c r="H10" i="3"/>
  <c r="E10" i="3"/>
  <c r="D10" i="3"/>
  <c r="C10" i="3"/>
  <c r="B10" i="3"/>
  <c r="K9" i="3"/>
  <c r="J9" i="3"/>
  <c r="I9" i="3"/>
  <c r="H9" i="3"/>
  <c r="E9" i="3"/>
  <c r="D9" i="3"/>
  <c r="C9" i="3"/>
  <c r="B9" i="3"/>
  <c r="K8" i="3"/>
  <c r="J8" i="3"/>
  <c r="I8" i="3"/>
  <c r="H8" i="3"/>
  <c r="E8" i="3"/>
  <c r="D8" i="3"/>
  <c r="C8" i="3"/>
  <c r="B8" i="3"/>
  <c r="K7" i="3"/>
  <c r="J7" i="3"/>
  <c r="I7" i="3"/>
  <c r="H7" i="3"/>
  <c r="E7" i="3"/>
  <c r="D7" i="3"/>
  <c r="C7" i="3"/>
  <c r="B7" i="3"/>
  <c r="E12" i="1"/>
  <c r="D12" i="1"/>
  <c r="C12" i="1"/>
  <c r="B12" i="1"/>
  <c r="E10" i="1"/>
  <c r="D10" i="1"/>
  <c r="C10" i="1"/>
  <c r="B10" i="1"/>
  <c r="E9" i="1"/>
  <c r="D9" i="1"/>
  <c r="C9" i="1"/>
  <c r="B9" i="1"/>
  <c r="A16" i="1" s="1"/>
  <c r="E8" i="1"/>
  <c r="D8" i="1"/>
  <c r="C8" i="1"/>
  <c r="B8" i="1"/>
  <c r="B13" i="1" s="1"/>
  <c r="C13" i="1" l="1"/>
  <c r="D13" i="1"/>
  <c r="E13" i="1"/>
  <c r="H30" i="3"/>
  <c r="B19" i="3"/>
  <c r="E43" i="3"/>
  <c r="I30" i="3"/>
  <c r="C19" i="3"/>
  <c r="G43" i="3"/>
  <c r="J30" i="3"/>
  <c r="D19" i="3"/>
  <c r="H43" i="3"/>
  <c r="K30" i="3"/>
  <c r="E19" i="3"/>
  <c r="B30" i="3"/>
  <c r="C30" i="3"/>
  <c r="D30" i="3"/>
  <c r="E30" i="3"/>
  <c r="H31" i="3"/>
  <c r="B20" i="3"/>
  <c r="E44" i="3"/>
  <c r="I31" i="3"/>
  <c r="C20" i="3"/>
  <c r="G44" i="3"/>
  <c r="J31" i="3"/>
  <c r="D20" i="3"/>
  <c r="H44" i="3"/>
  <c r="K31" i="3"/>
  <c r="E20" i="3"/>
  <c r="B31" i="3"/>
  <c r="C31" i="3"/>
  <c r="D31" i="3"/>
  <c r="E31" i="3"/>
  <c r="H32" i="3"/>
  <c r="B21" i="3"/>
  <c r="E45" i="3"/>
  <c r="I32" i="3"/>
  <c r="C21" i="3"/>
  <c r="G45" i="3"/>
  <c r="J32" i="3"/>
  <c r="D21" i="3"/>
  <c r="H45" i="3"/>
  <c r="K32" i="3"/>
  <c r="E21" i="3"/>
  <c r="B32" i="3"/>
  <c r="C32" i="3"/>
  <c r="D32" i="3"/>
  <c r="E32" i="3"/>
  <c r="H33" i="3"/>
  <c r="B22" i="3"/>
  <c r="E46" i="3"/>
  <c r="I33" i="3"/>
  <c r="C22" i="3"/>
  <c r="G46" i="3"/>
  <c r="J33" i="3"/>
  <c r="D22" i="3"/>
  <c r="H46" i="3"/>
  <c r="K33" i="3"/>
  <c r="E22" i="3"/>
  <c r="B33" i="3"/>
  <c r="C33" i="3"/>
  <c r="D33" i="3"/>
  <c r="E33" i="3"/>
  <c r="H34" i="3"/>
  <c r="B23" i="3"/>
  <c r="H19" i="3"/>
  <c r="E47" i="3"/>
  <c r="I34" i="3"/>
  <c r="C23" i="3"/>
  <c r="I19" i="3"/>
  <c r="G47" i="3"/>
  <c r="J34" i="3"/>
  <c r="D23" i="3"/>
  <c r="J19" i="3"/>
  <c r="H47" i="3"/>
  <c r="K34" i="3"/>
  <c r="E23" i="3"/>
  <c r="K19" i="3"/>
  <c r="B34" i="3"/>
  <c r="C34" i="3"/>
  <c r="D34" i="3"/>
  <c r="E34" i="3"/>
  <c r="H35" i="3"/>
  <c r="B24" i="3"/>
  <c r="H20" i="3"/>
  <c r="E48" i="3"/>
  <c r="I35" i="3"/>
  <c r="C24" i="3"/>
  <c r="I20" i="3"/>
  <c r="G48" i="3"/>
  <c r="J35" i="3"/>
  <c r="D24" i="3"/>
  <c r="J20" i="3"/>
  <c r="H48" i="3"/>
  <c r="K35" i="3"/>
  <c r="E24" i="3"/>
  <c r="K20" i="3"/>
  <c r="B35" i="3"/>
  <c r="C35" i="3"/>
  <c r="D35" i="3"/>
  <c r="E35" i="3"/>
  <c r="H36" i="3"/>
  <c r="B25" i="3"/>
  <c r="H21" i="3"/>
  <c r="E49" i="3"/>
  <c r="I36" i="3"/>
  <c r="C25" i="3"/>
  <c r="I21" i="3"/>
  <c r="G49" i="3"/>
  <c r="J36" i="3"/>
  <c r="D25" i="3"/>
  <c r="J21" i="3"/>
  <c r="H49" i="3"/>
  <c r="K36" i="3"/>
  <c r="E25" i="3"/>
  <c r="K21" i="3"/>
  <c r="B36" i="3"/>
  <c r="C36" i="3"/>
  <c r="D36" i="3"/>
  <c r="E36" i="3"/>
  <c r="H37" i="3"/>
  <c r="H22" i="3"/>
  <c r="B56" i="3"/>
  <c r="E50" i="3"/>
  <c r="I37" i="3"/>
  <c r="I22" i="3"/>
  <c r="B57" i="3"/>
  <c r="G50" i="3"/>
  <c r="J37" i="3"/>
  <c r="J22" i="3"/>
  <c r="B58" i="3"/>
  <c r="H50" i="3"/>
  <c r="K37" i="3"/>
  <c r="K22" i="3"/>
  <c r="B37" i="3"/>
  <c r="B11" i="1" s="1"/>
  <c r="C37" i="3"/>
  <c r="C11" i="1" s="1"/>
  <c r="D37" i="3"/>
  <c r="D11" i="1" s="1"/>
  <c r="E37" i="3"/>
  <c r="E11" i="1" s="1"/>
  <c r="C56" i="3"/>
  <c r="C57" i="3"/>
  <c r="C58" i="3"/>
  <c r="K56" i="3"/>
  <c r="K57" i="3"/>
  <c r="K58" i="3"/>
  <c r="K59" i="3"/>
  <c r="B15" i="4"/>
  <c r="G5" i="4"/>
  <c r="A19" i="1" l="1"/>
  <c r="A17" i="1"/>
  <c r="D58" i="3"/>
  <c r="D57" i="3"/>
  <c r="D56" i="3"/>
  <c r="A1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5" authorId="0" shapeId="0" xr:uid="{00000000-0006-0000-0000-000001000000}">
      <text>
        <r>
          <rPr>
            <sz val="10"/>
            <rFont val="Arial"/>
            <family val="2"/>
          </rPr>
          <t>Change to any quarter from Q3 2025 to Q2 2026 and the scorecard recalculates.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H56" authorId="0" shapeId="0" xr:uid="{00000000-0006-0000-0200-000001000000}">
      <text>
        <r>
          <rPr>
            <sz val="10"/>
            <rFont val="Arial"/>
            <family val="2"/>
          </rPr>
          <t>Source: each company's Q2 2026 earnings release (see Sources tab).</t>
        </r>
      </text>
    </comment>
  </commentList>
</comments>
</file>

<file path=xl/sharedStrings.xml><?xml version="1.0" encoding="utf-8"?>
<sst xmlns="http://schemas.openxmlformats.org/spreadsheetml/2006/main" count="435" uniqueCount="161">
  <si>
    <t>AI ad platforms: quarterly sales analysis</t>
  </si>
  <si>
    <t xml:space="preserve">AppLovin, Reddit, Pinterest and Duolingo, Q3 2024 – Q2 2026. </t>
  </si>
  <si>
    <t>Latest quarter scorecard</t>
  </si>
  <si>
    <t>Quarter:</t>
  </si>
  <si>
    <t>Q4 2025</t>
  </si>
  <si>
    <t>← pick any quarter from Q3 2025 onward</t>
  </si>
  <si>
    <t>Metric</t>
  </si>
  <si>
    <t>AppLovin</t>
  </si>
  <si>
    <t>Reddit</t>
  </si>
  <si>
    <t>Pinterest</t>
  </si>
  <si>
    <t>Duolingo</t>
  </si>
  <si>
    <t>Revenue ($M)</t>
  </si>
  <si>
    <t>Revenue YoY</t>
  </si>
  <si>
    <t>Revenue QoQ</t>
  </si>
  <si>
    <t>Adj. EBITDA margin</t>
  </si>
  <si>
    <t>Trailing 4Q revenue ($M)</t>
  </si>
  <si>
    <t>Revenue share of group</t>
  </si>
  <si>
    <t>What the numbers say</t>
  </si>
  <si>
    <t>Raw quarterly data</t>
  </si>
  <si>
    <t>Reported figures, $ millions unless noted. Blue = hardcoded from company filings (see Sources tab). AppLovin is continuing operations (apps business divested in 2025).</t>
  </si>
  <si>
    <t>Company</t>
  </si>
  <si>
    <t>Ticker</t>
  </si>
  <si>
    <t>Quarter</t>
  </si>
  <si>
    <t>Period end</t>
  </si>
  <si>
    <t>Q index</t>
  </si>
  <si>
    <t>Adj. EBITDA ($M)</t>
  </si>
  <si>
    <t>User metric</t>
  </si>
  <si>
    <t>Users (M)</t>
  </si>
  <si>
    <t>ARPU ($)</t>
  </si>
  <si>
    <t>Source key</t>
  </si>
  <si>
    <t>APP</t>
  </si>
  <si>
    <t>Q3 2024</t>
  </si>
  <si>
    <t>2024-09-30</t>
  </si>
  <si>
    <t>n/a</t>
  </si>
  <si>
    <t>APP-3Q25</t>
  </si>
  <si>
    <t>Q4 2024</t>
  </si>
  <si>
    <t>2024-12-31</t>
  </si>
  <si>
    <t>APP-4Q25</t>
  </si>
  <si>
    <t>Q1 2025</t>
  </si>
  <si>
    <t>2025-03-31</t>
  </si>
  <si>
    <t>APP-1Q26</t>
  </si>
  <si>
    <t>Q2 2025</t>
  </si>
  <si>
    <t>2025-06-30</t>
  </si>
  <si>
    <t>APP-2Q26</t>
  </si>
  <si>
    <t>Q3 2025</t>
  </si>
  <si>
    <t>2025-09-30</t>
  </si>
  <si>
    <t>2025-12-31</t>
  </si>
  <si>
    <t>Q1 2026</t>
  </si>
  <si>
    <t>2026-03-31</t>
  </si>
  <si>
    <t>Q2 2026</t>
  </si>
  <si>
    <t>2026-06-30</t>
  </si>
  <si>
    <t>RDDT</t>
  </si>
  <si>
    <t>DAUq</t>
  </si>
  <si>
    <t>RDDT-3Q25</t>
  </si>
  <si>
    <t>RDDT-4Q25</t>
  </si>
  <si>
    <t>RDDT-1Q26</t>
  </si>
  <si>
    <t>RDDT-2Q26</t>
  </si>
  <si>
    <t>PINS</t>
  </si>
  <si>
    <t>MAUs</t>
  </si>
  <si>
    <t>PINS-3Q25</t>
  </si>
  <si>
    <t>PINS-4Q25</t>
  </si>
  <si>
    <t>PINS-1Q26</t>
  </si>
  <si>
    <t>PINS-2Q26</t>
  </si>
  <si>
    <t>DUOL</t>
  </si>
  <si>
    <t>DAUs</t>
  </si>
  <si>
    <t>DUOL-3Q25</t>
  </si>
  <si>
    <t>DUOL-4Q25</t>
  </si>
  <si>
    <t>DUOL-1Q26</t>
  </si>
  <si>
    <t>DUOL-2Q26</t>
  </si>
  <si>
    <t>Notes</t>
  </si>
  <si>
    <t>Reddit Q4 2024 and Q4 2025 revenue/EBITDA are reported to $0.1M; all other figures are exact to $1K.</t>
  </si>
  <si>
    <t>Duolingo Q3 2025 net income included a one-time $222.7M tax benefit; EBITDA is unaffected, so this book uses Adj. EBITDA.</t>
  </si>
  <si>
    <t>AppLovin does not report user metrics. Reddit = daily active uniques, Pinterest = monthly active users, Duolingo = daily active users.</t>
  </si>
  <si>
    <t>Sales analysis</t>
  </si>
  <si>
    <t>Every figure on this tab is a formula on the Raw Data table (SUMIFS lookups, growth math, margins). Change a raw value and everything downstream updates.</t>
  </si>
  <si>
    <t>Quarterly revenue ($M)</t>
  </si>
  <si>
    <t>Revenue growth, quarter over quarter</t>
  </si>
  <si>
    <t>Revenue growth, year over year</t>
  </si>
  <si>
    <t>Q4 is the seasonal peak for ad budgets; watch the Q1 step-down.</t>
  </si>
  <si>
    <t>Comparable quarter one year earlier.</t>
  </si>
  <si>
    <t>Revenue indexed (Q3 2024 = 100)</t>
  </si>
  <si>
    <t>Adj. EBITDA ÷ revenue. Operating leverage shows as margin rising with scale.</t>
  </si>
  <si>
    <t>Puts a $2B and a $0.3B business on one scale.</t>
  </si>
  <si>
    <t>Users and monetization</t>
  </si>
  <si>
    <t>Revenue per user = quarterly revenue ÷ reported users. AppLovin reports no user metric.</t>
  </si>
  <si>
    <t>Reddit DAUq (M)</t>
  </si>
  <si>
    <t>Pinterest MAUs (M)</t>
  </si>
  <si>
    <t>Duolingo DAUs (M)</t>
  </si>
  <si>
    <t>Reddit rev / DAUq ($)</t>
  </si>
  <si>
    <t>Pinterest rev / MAU ($)</t>
  </si>
  <si>
    <t>Duolingo rev / DAU ($)</t>
  </si>
  <si>
    <t>Latest quarter: revenue growth vs user growth (YoY)</t>
  </si>
  <si>
    <t>Next-quarter outlook (Q3 2026 guidance)</t>
  </si>
  <si>
    <t xml:space="preserve">Revenue growing faster than users = each user is being monetized better </t>
  </si>
  <si>
    <t>Company revenue guidance ranges ($M), blue = inputs. Midpoint vs Q3 2025 gives implied growth.</t>
  </si>
  <si>
    <t>User YoY</t>
  </si>
  <si>
    <t>Gap (pts)</t>
  </si>
  <si>
    <t>Low</t>
  </si>
  <si>
    <t>High</t>
  </si>
  <si>
    <t>Midpoint</t>
  </si>
  <si>
    <t>Implied YoY</t>
  </si>
  <si>
    <t>Duolingo guides to a single revenue figure, so low = high.</t>
  </si>
  <si>
    <t>Pinterest revenue by region</t>
  </si>
  <si>
    <t>Geographic mix shows where growth is coming from. $ millions, as reported (rounded to $1M by the company).</t>
  </si>
  <si>
    <t>US &amp; Canada</t>
  </si>
  <si>
    <t>Europe</t>
  </si>
  <si>
    <t>Rest of World</t>
  </si>
  <si>
    <t>Total</t>
  </si>
  <si>
    <t>Intl share</t>
  </si>
  <si>
    <t>Europe YoY</t>
  </si>
  <si>
    <t>RoW YoY</t>
  </si>
  <si>
    <t>Check: regional total vs reported revenue</t>
  </si>
  <si>
    <t>Max gap ($M)</t>
  </si>
  <si>
    <t>Within company rounding (&lt;$1.5M).</t>
  </si>
  <si>
    <t>Sources</t>
  </si>
  <si>
    <t>Each quarter's figures come from the release that first reported it or its year-later comparison column</t>
  </si>
  <si>
    <t>Key</t>
  </si>
  <si>
    <t>Document</t>
  </si>
  <si>
    <t>Link</t>
  </si>
  <si>
    <t>AppLovin Q3 2025 earnings release (8-K Ex. 99.1)</t>
  </si>
  <si>
    <t>https://www.sec.gov/Archives/edgar/data/1751008/000175100825000079/exhibit991-3q25earningspre.htm</t>
  </si>
  <si>
    <t>AppLovin Q4 2025 earnings release</t>
  </si>
  <si>
    <t>https://s21.q4cdn.com/165405286/files/doc_financials/2025/q4/v2/4Q25-AppLovin-Press-Release.pdf</t>
  </si>
  <si>
    <t>AppLovin Q1 2026 earnings release (8-K Ex. 99.1)</t>
  </si>
  <si>
    <t>https://www.sec.gov/Archives/edgar/data/0001751008/000175100826000042/exhibit991-1q26earningspre.htm</t>
  </si>
  <si>
    <t>AppLovin Q2 2026 earnings release (8-K Ex. 99.1)</t>
  </si>
  <si>
    <t>https://www.sec.gov/Archives/edgar/data/0001751008/000175100826000057/exhibit991-2q26earningspre.htm</t>
  </si>
  <si>
    <t>Reddit Q3 2025 earnings release (8-K)</t>
  </si>
  <si>
    <t>https://www.sec.gov/Archives/edgar/data/1713445/000171344525000225/earningspressreleaseq325.htm</t>
  </si>
  <si>
    <t>Reddit Q4 &amp; FY2025 earnings release</t>
  </si>
  <si>
    <t>https://www.businesswire.com/news/home/20260205441801/en/Reddit-Reports-Fourth-Quarter-and-Full-Year-2025-Results-Announces-%241-Billion-Share-Repurchase-Program</t>
  </si>
  <si>
    <t>Reddit Q1 2026 earnings release (8-K)</t>
  </si>
  <si>
    <t>https://www.sec.gov/Archives/edgar/data/0001713445/000171344526000067/earningspressreleaseq126.htm</t>
  </si>
  <si>
    <t>Reddit Q2 2026 earnings release (8-K)</t>
  </si>
  <si>
    <t>https://www.sec.gov/Archives/edgar/data/0001713445/000171344526000098/earningspressreleaseq226.htm</t>
  </si>
  <si>
    <t>Pinterest Q3 2025 earnings release (8-K)</t>
  </si>
  <si>
    <t>https://www.sec.gov/Archives/edgar/data/1506293/000150629325000228/q3-25xpressrelease.htm</t>
  </si>
  <si>
    <t>Pinterest Q4 &amp; FY2025 earnings release</t>
  </si>
  <si>
    <t>https://www.businesswire.com/news/home/20260212059914/en/Pinterest-Announces-Fourth-Quarter-and-Full-Year-2025-Results-Delivers-14-Revenue-Growth-and-Record-Users</t>
  </si>
  <si>
    <t>Pinterest Q1 2026 earnings release (8-K)</t>
  </si>
  <si>
    <t>https://www.sec.gov/Archives/edgar/data/0001506293/000150629326000066/q1-26xpressrelease.htm</t>
  </si>
  <si>
    <t>Pinterest Q2 2026 earnings release (8-K)</t>
  </si>
  <si>
    <t>https://www.sec.gov/Archives/edgar/data/0001506293/000150629326000102/q2-26xpressrelease.htm</t>
  </si>
  <si>
    <t>Duolingo Q3 2025 shareholder letter (8-K)</t>
  </si>
  <si>
    <t>https://www.sec.gov/Archives/edgar/data/1562088/000162828025049514/q3fy25duolingo9-30x25share.htm</t>
  </si>
  <si>
    <t>Duolingo Q4 2025 shareholder letter (8-K)</t>
  </si>
  <si>
    <t>https://www.sec.gov/Archives/edgar/data/1562088/000162828026012246/q4fy25duolingo12-31x25shar.htm</t>
  </si>
  <si>
    <t>Duolingo Q1 2026 shareholder letter (8-K)</t>
  </si>
  <si>
    <t>https://www.sec.gov/Archives/edgar/data/0001562088/000162828026029790/q1fy26duolingo3-31x26share.htm</t>
  </si>
  <si>
    <t>Duolingo Q2 2026 shareholder letter (8-K)</t>
  </si>
  <si>
    <t>https://www.sec.gov/Archives/edgar/data/0001562088/000162828026053299/q2fy26duolingo6-30x26share.htm</t>
  </si>
  <si>
    <t>Definitions</t>
  </si>
  <si>
    <t>Adj. EBITDA</t>
  </si>
  <si>
    <t>Company-defined non-GAAP measure; each company's reconciliation is in its release.</t>
  </si>
  <si>
    <t>Reddit daily active uniques: logged-in and logged-out users visiting at least once a day.</t>
  </si>
  <si>
    <t>MAU</t>
  </si>
  <si>
    <t>Pinterest monthly active users: authenticated users visiting at least once in the 30 days to period end.</t>
  </si>
  <si>
    <t>DAU</t>
  </si>
  <si>
    <t>Duolingo daily active users, averaged over the last month of the quarter.</t>
  </si>
  <si>
    <t>ARPU</t>
  </si>
  <si>
    <t>Average revenue per user as reported by the company for the quarter.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</si>
</sst>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\$#,##0.0;&quot;($&quot;#,##0.0\);\-"/>
    <numFmt numFmtId="165" formatCode="0.0%;\(0.0%\);\-"/>
    <numFmt numFmtId="166" formatCode="\$#,##0"/>
    <numFmt numFmtId="167" formatCode="#,##0.0;\-;\-"/>
    <numFmt numFmtId="168" formatCode="\$0.00"/>
    <numFmt numFmtId="169" formatCode="#,##0.0"/>
    <numFmt numFmtId="170" formatCode="0.0"/>
  </numFmts>
  <fonts count="11">
    <font>
      <sz val="11"/>
      <color theme="1"/>
      <name val="Calibri"/>
      <family val="2"/>
      <charset val="1"/>
    </font>
    <font>
      <b/>
      <sz val="16"/>
      <color rgb="FF1F2A44"/>
      <name val="Arial"/>
      <charset val="1"/>
    </font>
    <font>
      <i/>
      <sz val="10"/>
      <color rgb="FF5A6475"/>
      <name val="Arial"/>
      <charset val="1"/>
    </font>
    <font>
      <b/>
      <sz val="12"/>
      <color rgb="FF1F2A44"/>
      <name val="Arial"/>
      <charset val="1"/>
    </font>
    <font>
      <b/>
      <sz val="10"/>
      <name val="Arial"/>
      <charset val="1"/>
    </font>
    <font>
      <sz val="10"/>
      <color rgb="FF0000FF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10"/>
      <color rgb="FF008000"/>
      <name val="Arial"/>
      <charset val="1"/>
    </font>
    <font>
      <sz val="10"/>
      <name val="Arial"/>
      <family val="2"/>
    </font>
    <font>
      <u/>
      <sz val="10"/>
      <color rgb="FF0563C1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2A44"/>
        <bgColor rgb="FF00336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EE7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6" fillId="3" borderId="0" xfId="0" applyFont="1" applyFill="1" applyAlignment="1">
      <alignment horizontal="left" vertical="center" wrapText="1"/>
    </xf>
    <xf numFmtId="0" fontId="6" fillId="3" borderId="0" xfId="0" applyFont="1" applyFill="1" applyAlignment="1">
      <alignment horizontal="center" vertical="center" wrapText="1"/>
    </xf>
    <xf numFmtId="0" fontId="7" fillId="0" borderId="1" xfId="0" applyFont="1" applyBorder="1"/>
    <xf numFmtId="164" fontId="8" fillId="0" borderId="1" xfId="0" applyNumberFormat="1" applyFont="1" applyBorder="1"/>
    <xf numFmtId="165" fontId="8" fillId="0" borderId="1" xfId="0" applyNumberFormat="1" applyFont="1" applyBorder="1"/>
    <xf numFmtId="0" fontId="7" fillId="0" borderId="0" xfId="0" applyFont="1"/>
    <xf numFmtId="164" fontId="5" fillId="0" borderId="0" xfId="0" applyNumberFormat="1" applyFont="1"/>
    <xf numFmtId="167" fontId="5" fillId="0" borderId="0" xfId="0" applyNumberFormat="1" applyFont="1"/>
    <xf numFmtId="168" fontId="5" fillId="0" borderId="0" xfId="0" applyNumberFormat="1" applyFont="1"/>
    <xf numFmtId="164" fontId="7" fillId="0" borderId="1" xfId="0" applyNumberFormat="1" applyFont="1" applyBorder="1"/>
    <xf numFmtId="165" fontId="7" fillId="0" borderId="1" xfId="0" applyNumberFormat="1" applyFont="1" applyBorder="1"/>
    <xf numFmtId="1" fontId="7" fillId="0" borderId="1" xfId="0" applyNumberFormat="1" applyFont="1" applyBorder="1"/>
    <xf numFmtId="0" fontId="6" fillId="0" borderId="0" xfId="0" applyFont="1" applyAlignment="1">
      <alignment horizontal="center" vertical="center" wrapText="1"/>
    </xf>
    <xf numFmtId="169" fontId="7" fillId="0" borderId="1" xfId="0" applyNumberFormat="1" applyFont="1" applyBorder="1"/>
    <xf numFmtId="168" fontId="7" fillId="0" borderId="1" xfId="0" applyNumberFormat="1" applyFont="1" applyBorder="1"/>
    <xf numFmtId="166" fontId="5" fillId="0" borderId="1" xfId="0" applyNumberFormat="1" applyFont="1" applyBorder="1"/>
    <xf numFmtId="166" fontId="7" fillId="0" borderId="1" xfId="0" applyNumberFormat="1" applyFont="1" applyBorder="1"/>
    <xf numFmtId="170" fontId="7" fillId="0" borderId="0" xfId="0" applyNumberFormat="1" applyFont="1"/>
    <xf numFmtId="0" fontId="10" fillId="0" borderId="0" xfId="0" applyFont="1"/>
  </cellXfs>
  <cellStyles count="1">
    <cellStyle name="Normal" xfId="0" builtinId="0"/>
  </cellStyles>
  <dxfs count="2">
    <dxf>
      <font>
        <color rgb="FFC00000"/>
        <name val="Arial"/>
        <charset val="1"/>
      </font>
    </dxf>
    <dxf>
      <font>
        <color rgb="FFC00000"/>
        <name val="Arial"/>
        <charset val="1"/>
      </font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8064A2"/>
      <rgbColor rgb="FFBE4B48"/>
      <rgbColor rgb="FFFFF2CC"/>
      <rgbColor rgb="FFCCFFFF"/>
      <rgbColor rgb="FF660066"/>
      <rgbColor rgb="FFFF8080"/>
      <rgbColor rgb="FF0563C1"/>
      <rgbColor rgb="FFD9DE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8B855"/>
      <rgbColor rgb="FFFFCC00"/>
      <rgbColor rgb="FFFF9900"/>
      <rgbColor rgb="FFFF6600"/>
      <rgbColor rgb="FF5A6475"/>
      <rgbColor rgb="FF9BBB59"/>
      <rgbColor rgb="FF003366"/>
      <rgbColor rgb="FF4F81BD"/>
      <rgbColor rgb="FF003300"/>
      <rgbColor rgb="FF333300"/>
      <rgbColor rgb="FF993300"/>
      <rgbColor rgb="FFC0504D"/>
      <rgbColor rgb="FF7D5FA0"/>
      <rgbColor rgb="FF1F2A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Revenue indexed to Q3 2024 = 100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Analysis!H29</c:f>
              <c:strCache>
                <c:ptCount val="1"/>
                <c:pt idx="0">
                  <c:v>AppLovin</c:v>
                </c:pt>
              </c:strCache>
            </c:strRef>
          </c:tx>
          <c:spPr>
            <a:ln w="2196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Analysis!$G$30:$G$37</c:f>
              <c:strCache>
                <c:ptCount val="8"/>
                <c:pt idx="0">
                  <c:v>Q3 2024</c:v>
                </c:pt>
                <c:pt idx="1">
                  <c:v>Q4 2024</c:v>
                </c:pt>
                <c:pt idx="2">
                  <c:v>Q1 2025</c:v>
                </c:pt>
                <c:pt idx="3">
                  <c:v>Q2 2025</c:v>
                </c:pt>
                <c:pt idx="4">
                  <c:v>Q3 2025</c:v>
                </c:pt>
                <c:pt idx="5">
                  <c:v>Q4 2025</c:v>
                </c:pt>
                <c:pt idx="6">
                  <c:v>Q1 2026</c:v>
                </c:pt>
                <c:pt idx="7">
                  <c:v>Q2 2026</c:v>
                </c:pt>
              </c:strCache>
            </c:strRef>
          </c:cat>
          <c:val>
            <c:numRef>
              <c:f>Analysis!$H$30:$H$37</c:f>
              <c:numCache>
                <c:formatCode>0</c:formatCode>
                <c:ptCount val="8"/>
                <c:pt idx="0">
                  <c:v>100</c:v>
                </c:pt>
                <c:pt idx="1">
                  <c:v>119.67238435510173</c:v>
                </c:pt>
                <c:pt idx="2">
                  <c:v>138.76837015946145</c:v>
                </c:pt>
                <c:pt idx="3">
                  <c:v>150.71540950159604</c:v>
                </c:pt>
                <c:pt idx="4">
                  <c:v>168.23138797824677</c:v>
                </c:pt>
                <c:pt idx="5">
                  <c:v>198.51194823668018</c:v>
                </c:pt>
                <c:pt idx="6">
                  <c:v>220.6034344445429</c:v>
                </c:pt>
                <c:pt idx="7">
                  <c:v>230.33024978866982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18-4F22-8CA1-94F267BF1597}"/>
            </c:ext>
          </c:extLst>
        </c:ser>
        <c:ser>
          <c:idx val="1"/>
          <c:order val="1"/>
          <c:tx>
            <c:strRef>
              <c:f>Analysis!I29</c:f>
              <c:strCache>
                <c:ptCount val="1"/>
                <c:pt idx="0">
                  <c:v>Reddit</c:v>
                </c:pt>
              </c:strCache>
            </c:strRef>
          </c:tx>
          <c:spPr>
            <a:ln w="2196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Analysis!$G$30:$G$37</c:f>
              <c:strCache>
                <c:ptCount val="8"/>
                <c:pt idx="0">
                  <c:v>Q3 2024</c:v>
                </c:pt>
                <c:pt idx="1">
                  <c:v>Q4 2024</c:v>
                </c:pt>
                <c:pt idx="2">
                  <c:v>Q1 2025</c:v>
                </c:pt>
                <c:pt idx="3">
                  <c:v>Q2 2025</c:v>
                </c:pt>
                <c:pt idx="4">
                  <c:v>Q3 2025</c:v>
                </c:pt>
                <c:pt idx="5">
                  <c:v>Q4 2025</c:v>
                </c:pt>
                <c:pt idx="6">
                  <c:v>Q1 2026</c:v>
                </c:pt>
                <c:pt idx="7">
                  <c:v>Q2 2026</c:v>
                </c:pt>
              </c:strCache>
            </c:strRef>
          </c:cat>
          <c:val>
            <c:numRef>
              <c:f>Analysis!$I$30:$I$37</c:f>
              <c:numCache>
                <c:formatCode>0</c:formatCode>
                <c:ptCount val="8"/>
                <c:pt idx="0">
                  <c:v>100</c:v>
                </c:pt>
                <c:pt idx="1">
                  <c:v>122.77846195360426</c:v>
                </c:pt>
                <c:pt idx="2">
                  <c:v>112.63380900298836</c:v>
                </c:pt>
                <c:pt idx="3">
                  <c:v>143.42631426348711</c:v>
                </c:pt>
                <c:pt idx="4">
                  <c:v>167.9085175584396</c:v>
                </c:pt>
                <c:pt idx="5">
                  <c:v>208.29565581841302</c:v>
                </c:pt>
                <c:pt idx="6">
                  <c:v>190.44325981553087</c:v>
                </c:pt>
                <c:pt idx="7">
                  <c:v>231.06148683368212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18-4F22-8CA1-94F267BF1597}"/>
            </c:ext>
          </c:extLst>
        </c:ser>
        <c:ser>
          <c:idx val="2"/>
          <c:order val="2"/>
          <c:tx>
            <c:strRef>
              <c:f>Analysis!J29</c:f>
              <c:strCache>
                <c:ptCount val="1"/>
                <c:pt idx="0">
                  <c:v>Pinterest</c:v>
                </c:pt>
              </c:strCache>
            </c:strRef>
          </c:tx>
          <c:spPr>
            <a:ln w="2196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Analysis!$G$30:$G$37</c:f>
              <c:strCache>
                <c:ptCount val="8"/>
                <c:pt idx="0">
                  <c:v>Q3 2024</c:v>
                </c:pt>
                <c:pt idx="1">
                  <c:v>Q4 2024</c:v>
                </c:pt>
                <c:pt idx="2">
                  <c:v>Q1 2025</c:v>
                </c:pt>
                <c:pt idx="3">
                  <c:v>Q2 2025</c:v>
                </c:pt>
                <c:pt idx="4">
                  <c:v>Q3 2025</c:v>
                </c:pt>
                <c:pt idx="5">
                  <c:v>Q4 2025</c:v>
                </c:pt>
                <c:pt idx="6">
                  <c:v>Q1 2026</c:v>
                </c:pt>
                <c:pt idx="7">
                  <c:v>Q2 2026</c:v>
                </c:pt>
              </c:strCache>
            </c:strRef>
          </c:cat>
          <c:val>
            <c:numRef>
              <c:f>Analysis!$J$30:$J$37</c:f>
              <c:numCache>
                <c:formatCode>0</c:formatCode>
                <c:ptCount val="8"/>
                <c:pt idx="0">
                  <c:v>100</c:v>
                </c:pt>
                <c:pt idx="1">
                  <c:v>128.46890990713212</c:v>
                </c:pt>
                <c:pt idx="2">
                  <c:v>95.170714168836341</c:v>
                </c:pt>
                <c:pt idx="3">
                  <c:v>111.11498230690368</c:v>
                </c:pt>
                <c:pt idx="4">
                  <c:v>116.78946272873291</c:v>
                </c:pt>
                <c:pt idx="5">
                  <c:v>146.85960063358982</c:v>
                </c:pt>
                <c:pt idx="6">
                  <c:v>112.14873999997775</c:v>
                </c:pt>
                <c:pt idx="7">
                  <c:v>131.31004604991466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18-4F22-8CA1-94F267BF1597}"/>
            </c:ext>
          </c:extLst>
        </c:ser>
        <c:ser>
          <c:idx val="3"/>
          <c:order val="3"/>
          <c:tx>
            <c:strRef>
              <c:f>Analysis!K29</c:f>
              <c:strCache>
                <c:ptCount val="1"/>
                <c:pt idx="0">
                  <c:v>Duolingo</c:v>
                </c:pt>
              </c:strCache>
            </c:strRef>
          </c:tx>
          <c:spPr>
            <a:ln w="2196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Analysis!$G$30:$G$37</c:f>
              <c:strCache>
                <c:ptCount val="8"/>
                <c:pt idx="0">
                  <c:v>Q3 2024</c:v>
                </c:pt>
                <c:pt idx="1">
                  <c:v>Q4 2024</c:v>
                </c:pt>
                <c:pt idx="2">
                  <c:v>Q1 2025</c:v>
                </c:pt>
                <c:pt idx="3">
                  <c:v>Q2 2025</c:v>
                </c:pt>
                <c:pt idx="4">
                  <c:v>Q3 2025</c:v>
                </c:pt>
                <c:pt idx="5">
                  <c:v>Q4 2025</c:v>
                </c:pt>
                <c:pt idx="6">
                  <c:v>Q1 2026</c:v>
                </c:pt>
                <c:pt idx="7">
                  <c:v>Q2 2026</c:v>
                </c:pt>
              </c:strCache>
            </c:strRef>
          </c:cat>
          <c:val>
            <c:numRef>
              <c:f>Analysis!$K$30:$K$37</c:f>
              <c:numCache>
                <c:formatCode>0</c:formatCode>
                <c:ptCount val="8"/>
                <c:pt idx="0">
                  <c:v>100</c:v>
                </c:pt>
                <c:pt idx="1">
                  <c:v>108.80401258606187</c:v>
                </c:pt>
                <c:pt idx="2">
                  <c:v>119.80798986468946</c:v>
                </c:pt>
                <c:pt idx="3">
                  <c:v>130.98279281805247</c:v>
                </c:pt>
                <c:pt idx="4">
                  <c:v>141.08071902551481</c:v>
                </c:pt>
                <c:pt idx="5">
                  <c:v>146.87269593029896</c:v>
                </c:pt>
                <c:pt idx="6">
                  <c:v>151.59714217473027</c:v>
                </c:pt>
                <c:pt idx="7">
                  <c:v>154.96536756077552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D18-4F22-8CA1-94F267BF15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0252366"/>
        <c:axId val="81684358"/>
      </c:lineChart>
      <c:catAx>
        <c:axId val="1025236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1684358"/>
        <c:crosses val="autoZero"/>
        <c:auto val="1"/>
        <c:lblAlgn val="ctr"/>
        <c:lblOffset val="100"/>
        <c:noMultiLvlLbl val="0"/>
      </c:catAx>
      <c:valAx>
        <c:axId val="8168435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025236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Quarterly revenue ($M)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Analysis!B6</c:f>
              <c:strCache>
                <c:ptCount val="1"/>
                <c:pt idx="0">
                  <c:v>AppLovin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Analysis!$A$7:$A$14</c:f>
              <c:strCache>
                <c:ptCount val="8"/>
                <c:pt idx="0">
                  <c:v>Q3 2024</c:v>
                </c:pt>
                <c:pt idx="1">
                  <c:v>Q4 2024</c:v>
                </c:pt>
                <c:pt idx="2">
                  <c:v>Q1 2025</c:v>
                </c:pt>
                <c:pt idx="3">
                  <c:v>Q2 2025</c:v>
                </c:pt>
                <c:pt idx="4">
                  <c:v>Q3 2025</c:v>
                </c:pt>
                <c:pt idx="5">
                  <c:v>Q4 2025</c:v>
                </c:pt>
                <c:pt idx="6">
                  <c:v>Q1 2026</c:v>
                </c:pt>
                <c:pt idx="7">
                  <c:v>Q2 2026</c:v>
                </c:pt>
              </c:strCache>
            </c:strRef>
          </c:cat>
          <c:val>
            <c:numRef>
              <c:f>Analysis!$B$7:$B$14</c:f>
              <c:numCache>
                <c:formatCode>\$#,##0.0;"($"#,##0.0\);\-</c:formatCode>
                <c:ptCount val="8"/>
                <c:pt idx="0">
                  <c:v>835.18600000000004</c:v>
                </c:pt>
                <c:pt idx="1">
                  <c:v>999.48699999999997</c:v>
                </c:pt>
                <c:pt idx="2">
                  <c:v>1158.9739999999999</c:v>
                </c:pt>
                <c:pt idx="3">
                  <c:v>1258.7539999999999</c:v>
                </c:pt>
                <c:pt idx="4">
                  <c:v>1405.0450000000001</c:v>
                </c:pt>
                <c:pt idx="5">
                  <c:v>1657.944</c:v>
                </c:pt>
                <c:pt idx="6">
                  <c:v>1842.4490000000001</c:v>
                </c:pt>
                <c:pt idx="7">
                  <c:v>1923.6859999999999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70-47BC-85B1-527B387E3A92}"/>
            </c:ext>
          </c:extLst>
        </c:ser>
        <c:ser>
          <c:idx val="1"/>
          <c:order val="1"/>
          <c:tx>
            <c:strRef>
              <c:f>Analysis!C6</c:f>
              <c:strCache>
                <c:ptCount val="1"/>
                <c:pt idx="0">
                  <c:v>Reddit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Analysis!$A$7:$A$14</c:f>
              <c:strCache>
                <c:ptCount val="8"/>
                <c:pt idx="0">
                  <c:v>Q3 2024</c:v>
                </c:pt>
                <c:pt idx="1">
                  <c:v>Q4 2024</c:v>
                </c:pt>
                <c:pt idx="2">
                  <c:v>Q1 2025</c:v>
                </c:pt>
                <c:pt idx="3">
                  <c:v>Q2 2025</c:v>
                </c:pt>
                <c:pt idx="4">
                  <c:v>Q3 2025</c:v>
                </c:pt>
                <c:pt idx="5">
                  <c:v>Q4 2025</c:v>
                </c:pt>
                <c:pt idx="6">
                  <c:v>Q1 2026</c:v>
                </c:pt>
                <c:pt idx="7">
                  <c:v>Q2 2026</c:v>
                </c:pt>
              </c:strCache>
            </c:strRef>
          </c:cat>
          <c:val>
            <c:numRef>
              <c:f>Analysis!$C$7:$C$14</c:f>
              <c:numCache>
                <c:formatCode>\$#,##0.0;"($"#,##0.0\);\-</c:formatCode>
                <c:ptCount val="8"/>
                <c:pt idx="0">
                  <c:v>348.351</c:v>
                </c:pt>
                <c:pt idx="1">
                  <c:v>427.7</c:v>
                </c:pt>
                <c:pt idx="2">
                  <c:v>392.36099999999999</c:v>
                </c:pt>
                <c:pt idx="3">
                  <c:v>499.62700000000001</c:v>
                </c:pt>
                <c:pt idx="4">
                  <c:v>584.91099999999994</c:v>
                </c:pt>
                <c:pt idx="5">
                  <c:v>725.6</c:v>
                </c:pt>
                <c:pt idx="6">
                  <c:v>663.41099999999994</c:v>
                </c:pt>
                <c:pt idx="7">
                  <c:v>804.90499999999997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70-47BC-85B1-527B387E3A92}"/>
            </c:ext>
          </c:extLst>
        </c:ser>
        <c:ser>
          <c:idx val="2"/>
          <c:order val="2"/>
          <c:tx>
            <c:strRef>
              <c:f>Analysis!D6</c:f>
              <c:strCache>
                <c:ptCount val="1"/>
                <c:pt idx="0">
                  <c:v>Pinterest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Analysis!$A$7:$A$14</c:f>
              <c:strCache>
                <c:ptCount val="8"/>
                <c:pt idx="0">
                  <c:v>Q3 2024</c:v>
                </c:pt>
                <c:pt idx="1">
                  <c:v>Q4 2024</c:v>
                </c:pt>
                <c:pt idx="2">
                  <c:v>Q1 2025</c:v>
                </c:pt>
                <c:pt idx="3">
                  <c:v>Q2 2025</c:v>
                </c:pt>
                <c:pt idx="4">
                  <c:v>Q3 2025</c:v>
                </c:pt>
                <c:pt idx="5">
                  <c:v>Q4 2025</c:v>
                </c:pt>
                <c:pt idx="6">
                  <c:v>Q1 2026</c:v>
                </c:pt>
                <c:pt idx="7">
                  <c:v>Q2 2026</c:v>
                </c:pt>
              </c:strCache>
            </c:strRef>
          </c:cat>
          <c:val>
            <c:numRef>
              <c:f>Analysis!$D$7:$D$14</c:f>
              <c:numCache>
                <c:formatCode>\$#,##0.0;"($"#,##0.0\);\-</c:formatCode>
                <c:ptCount val="8"/>
                <c:pt idx="0">
                  <c:v>898.37300000000005</c:v>
                </c:pt>
                <c:pt idx="1">
                  <c:v>1154.1300000000001</c:v>
                </c:pt>
                <c:pt idx="2">
                  <c:v>854.98800000000006</c:v>
                </c:pt>
                <c:pt idx="3">
                  <c:v>998.22699999999998</c:v>
                </c:pt>
                <c:pt idx="4">
                  <c:v>1049.2049999999999</c:v>
                </c:pt>
                <c:pt idx="5">
                  <c:v>1319.347</c:v>
                </c:pt>
                <c:pt idx="6">
                  <c:v>1007.514</c:v>
                </c:pt>
                <c:pt idx="7">
                  <c:v>1179.654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70-47BC-85B1-527B387E3A92}"/>
            </c:ext>
          </c:extLst>
        </c:ser>
        <c:ser>
          <c:idx val="3"/>
          <c:order val="3"/>
          <c:tx>
            <c:strRef>
              <c:f>Analysis!E6</c:f>
              <c:strCache>
                <c:ptCount val="1"/>
                <c:pt idx="0">
                  <c:v>Duolingo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Analysis!$A$7:$A$14</c:f>
              <c:strCache>
                <c:ptCount val="8"/>
                <c:pt idx="0">
                  <c:v>Q3 2024</c:v>
                </c:pt>
                <c:pt idx="1">
                  <c:v>Q4 2024</c:v>
                </c:pt>
                <c:pt idx="2">
                  <c:v>Q1 2025</c:v>
                </c:pt>
                <c:pt idx="3">
                  <c:v>Q2 2025</c:v>
                </c:pt>
                <c:pt idx="4">
                  <c:v>Q3 2025</c:v>
                </c:pt>
                <c:pt idx="5">
                  <c:v>Q4 2025</c:v>
                </c:pt>
                <c:pt idx="6">
                  <c:v>Q1 2026</c:v>
                </c:pt>
                <c:pt idx="7">
                  <c:v>Q2 2026</c:v>
                </c:pt>
              </c:strCache>
            </c:strRef>
          </c:cat>
          <c:val>
            <c:numRef>
              <c:f>Analysis!$E$7:$E$14</c:f>
              <c:numCache>
                <c:formatCode>\$#,##0.0;"($"#,##0.0\);\-</c:formatCode>
                <c:ptCount val="8"/>
                <c:pt idx="0">
                  <c:v>192.59399999999999</c:v>
                </c:pt>
                <c:pt idx="1">
                  <c:v>209.55</c:v>
                </c:pt>
                <c:pt idx="2">
                  <c:v>230.74299999999999</c:v>
                </c:pt>
                <c:pt idx="3">
                  <c:v>252.26499999999999</c:v>
                </c:pt>
                <c:pt idx="4">
                  <c:v>271.71300000000002</c:v>
                </c:pt>
                <c:pt idx="5">
                  <c:v>282.86799999999999</c:v>
                </c:pt>
                <c:pt idx="6">
                  <c:v>291.96699999999998</c:v>
                </c:pt>
                <c:pt idx="7">
                  <c:v>298.45400000000001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770-47BC-85B1-527B387E3A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36327289"/>
        <c:axId val="21744581"/>
      </c:barChart>
      <c:catAx>
        <c:axId val="3632728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1744581"/>
        <c:crosses val="autoZero"/>
        <c:auto val="1"/>
        <c:lblAlgn val="ctr"/>
        <c:lblOffset val="100"/>
        <c:noMultiLvlLbl val="0"/>
      </c:catAx>
      <c:valAx>
        <c:axId val="2174458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632728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Adj. EBITDA margin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Analysis!B29</c:f>
              <c:strCache>
                <c:ptCount val="1"/>
                <c:pt idx="0">
                  <c:v>AppLovin</c:v>
                </c:pt>
              </c:strCache>
            </c:strRef>
          </c:tx>
          <c:spPr>
            <a:ln w="2196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Analysis!$A$30:$A$37</c:f>
              <c:strCache>
                <c:ptCount val="8"/>
                <c:pt idx="0">
                  <c:v>Q3 2024</c:v>
                </c:pt>
                <c:pt idx="1">
                  <c:v>Q4 2024</c:v>
                </c:pt>
                <c:pt idx="2">
                  <c:v>Q1 2025</c:v>
                </c:pt>
                <c:pt idx="3">
                  <c:v>Q2 2025</c:v>
                </c:pt>
                <c:pt idx="4">
                  <c:v>Q3 2025</c:v>
                </c:pt>
                <c:pt idx="5">
                  <c:v>Q4 2025</c:v>
                </c:pt>
                <c:pt idx="6">
                  <c:v>Q1 2026</c:v>
                </c:pt>
                <c:pt idx="7">
                  <c:v>Q2 2026</c:v>
                </c:pt>
              </c:strCache>
            </c:strRef>
          </c:cat>
          <c:val>
            <c:numRef>
              <c:f>Analysis!$B$30:$B$37</c:f>
              <c:numCache>
                <c:formatCode>0.0%;\(0.0%\);\-</c:formatCode>
                <c:ptCount val="8"/>
                <c:pt idx="0">
                  <c:v>0.77469809120363609</c:v>
                </c:pt>
                <c:pt idx="1">
                  <c:v>0.77022712651590264</c:v>
                </c:pt>
                <c:pt idx="2">
                  <c:v>0.80913980814064868</c:v>
                </c:pt>
                <c:pt idx="3">
                  <c:v>0.80901192766815444</c:v>
                </c:pt>
                <c:pt idx="4">
                  <c:v>0.82392663580170022</c:v>
                </c:pt>
                <c:pt idx="5">
                  <c:v>0.84362258315118011</c:v>
                </c:pt>
                <c:pt idx="6">
                  <c:v>0.8450269179771055</c:v>
                </c:pt>
                <c:pt idx="7">
                  <c:v>0.83892225654290786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44-40E1-B0B5-4CD120B4FE6B}"/>
            </c:ext>
          </c:extLst>
        </c:ser>
        <c:ser>
          <c:idx val="1"/>
          <c:order val="1"/>
          <c:tx>
            <c:strRef>
              <c:f>Analysis!C29</c:f>
              <c:strCache>
                <c:ptCount val="1"/>
                <c:pt idx="0">
                  <c:v>Reddit</c:v>
                </c:pt>
              </c:strCache>
            </c:strRef>
          </c:tx>
          <c:spPr>
            <a:ln w="2196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Analysis!$A$30:$A$37</c:f>
              <c:strCache>
                <c:ptCount val="8"/>
                <c:pt idx="0">
                  <c:v>Q3 2024</c:v>
                </c:pt>
                <c:pt idx="1">
                  <c:v>Q4 2024</c:v>
                </c:pt>
                <c:pt idx="2">
                  <c:v>Q1 2025</c:v>
                </c:pt>
                <c:pt idx="3">
                  <c:v>Q2 2025</c:v>
                </c:pt>
                <c:pt idx="4">
                  <c:v>Q3 2025</c:v>
                </c:pt>
                <c:pt idx="5">
                  <c:v>Q4 2025</c:v>
                </c:pt>
                <c:pt idx="6">
                  <c:v>Q1 2026</c:v>
                </c:pt>
                <c:pt idx="7">
                  <c:v>Q2 2026</c:v>
                </c:pt>
              </c:strCache>
            </c:strRef>
          </c:cat>
          <c:val>
            <c:numRef>
              <c:f>Analysis!$C$30:$C$37</c:f>
              <c:numCache>
                <c:formatCode>0.0%;\(0.0%\);\-</c:formatCode>
                <c:ptCount val="8"/>
                <c:pt idx="0">
                  <c:v>0.27027050302711919</c:v>
                </c:pt>
                <c:pt idx="1">
                  <c:v>0.36076689268178636</c:v>
                </c:pt>
                <c:pt idx="2">
                  <c:v>0.29378811859486548</c:v>
                </c:pt>
                <c:pt idx="3">
                  <c:v>0.33374697524353164</c:v>
                </c:pt>
                <c:pt idx="4">
                  <c:v>0.40349215521677662</c:v>
                </c:pt>
                <c:pt idx="5">
                  <c:v>0.45066152149944871</c:v>
                </c:pt>
                <c:pt idx="6">
                  <c:v>0.40091285794175863</c:v>
                </c:pt>
                <c:pt idx="7">
                  <c:v>0.4259011933085271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44-40E1-B0B5-4CD120B4FE6B}"/>
            </c:ext>
          </c:extLst>
        </c:ser>
        <c:ser>
          <c:idx val="2"/>
          <c:order val="2"/>
          <c:tx>
            <c:strRef>
              <c:f>Analysis!D29</c:f>
              <c:strCache>
                <c:ptCount val="1"/>
                <c:pt idx="0">
                  <c:v>Pinterest</c:v>
                </c:pt>
              </c:strCache>
            </c:strRef>
          </c:tx>
          <c:spPr>
            <a:ln w="2196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Analysis!$A$30:$A$37</c:f>
              <c:strCache>
                <c:ptCount val="8"/>
                <c:pt idx="0">
                  <c:v>Q3 2024</c:v>
                </c:pt>
                <c:pt idx="1">
                  <c:v>Q4 2024</c:v>
                </c:pt>
                <c:pt idx="2">
                  <c:v>Q1 2025</c:v>
                </c:pt>
                <c:pt idx="3">
                  <c:v>Q2 2025</c:v>
                </c:pt>
                <c:pt idx="4">
                  <c:v>Q3 2025</c:v>
                </c:pt>
                <c:pt idx="5">
                  <c:v>Q4 2025</c:v>
                </c:pt>
                <c:pt idx="6">
                  <c:v>Q1 2026</c:v>
                </c:pt>
                <c:pt idx="7">
                  <c:v>Q2 2026</c:v>
                </c:pt>
              </c:strCache>
            </c:strRef>
          </c:cat>
          <c:val>
            <c:numRef>
              <c:f>Analysis!$D$30:$D$37</c:f>
              <c:numCache>
                <c:formatCode>0.0%;\(0.0%\);\-</c:formatCode>
                <c:ptCount val="8"/>
                <c:pt idx="0">
                  <c:v>0.27493034630381813</c:v>
                </c:pt>
                <c:pt idx="1">
                  <c:v>0.40805021964596705</c:v>
                </c:pt>
                <c:pt idx="2">
                  <c:v>0.20076188203811046</c:v>
                </c:pt>
                <c:pt idx="3">
                  <c:v>0.25122141556980526</c:v>
                </c:pt>
                <c:pt idx="4">
                  <c:v>0.2916979999142208</c:v>
                </c:pt>
                <c:pt idx="5">
                  <c:v>0.41043031135857361</c:v>
                </c:pt>
                <c:pt idx="6">
                  <c:v>0.20496985649827199</c:v>
                </c:pt>
                <c:pt idx="7">
                  <c:v>0.26389687145552848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44-40E1-B0B5-4CD120B4FE6B}"/>
            </c:ext>
          </c:extLst>
        </c:ser>
        <c:ser>
          <c:idx val="3"/>
          <c:order val="3"/>
          <c:tx>
            <c:strRef>
              <c:f>Analysis!E29</c:f>
              <c:strCache>
                <c:ptCount val="1"/>
                <c:pt idx="0">
                  <c:v>Duolingo</c:v>
                </c:pt>
              </c:strCache>
            </c:strRef>
          </c:tx>
          <c:spPr>
            <a:ln w="2196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Analysis!$A$30:$A$37</c:f>
              <c:strCache>
                <c:ptCount val="8"/>
                <c:pt idx="0">
                  <c:v>Q3 2024</c:v>
                </c:pt>
                <c:pt idx="1">
                  <c:v>Q4 2024</c:v>
                </c:pt>
                <c:pt idx="2">
                  <c:v>Q1 2025</c:v>
                </c:pt>
                <c:pt idx="3">
                  <c:v>Q2 2025</c:v>
                </c:pt>
                <c:pt idx="4">
                  <c:v>Q3 2025</c:v>
                </c:pt>
                <c:pt idx="5">
                  <c:v>Q4 2025</c:v>
                </c:pt>
                <c:pt idx="6">
                  <c:v>Q1 2026</c:v>
                </c:pt>
                <c:pt idx="7">
                  <c:v>Q2 2026</c:v>
                </c:pt>
              </c:strCache>
            </c:strRef>
          </c:cat>
          <c:val>
            <c:numRef>
              <c:f>Analysis!$E$30:$E$37</c:f>
              <c:numCache>
                <c:formatCode>0.0%;\(0.0%\);\-</c:formatCode>
                <c:ptCount val="8"/>
                <c:pt idx="0">
                  <c:v>0.2466743512258949</c:v>
                </c:pt>
                <c:pt idx="1">
                  <c:v>0.24963970412789308</c:v>
                </c:pt>
                <c:pt idx="2">
                  <c:v>0.27218160464239438</c:v>
                </c:pt>
                <c:pt idx="3">
                  <c:v>0.31189423820189094</c:v>
                </c:pt>
                <c:pt idx="4">
                  <c:v>0.29459760850603395</c:v>
                </c:pt>
                <c:pt idx="5">
                  <c:v>0.29818855437872083</c:v>
                </c:pt>
                <c:pt idx="6">
                  <c:v>0.28575832200214413</c:v>
                </c:pt>
                <c:pt idx="7">
                  <c:v>0.2590516461498254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44-40E1-B0B5-4CD120B4FE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427535"/>
        <c:axId val="36263087"/>
      </c:lineChart>
      <c:catAx>
        <c:axId val="2427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6263087"/>
        <c:crosses val="autoZero"/>
        <c:auto val="1"/>
        <c:lblAlgn val="ctr"/>
        <c:lblOffset val="100"/>
        <c:noMultiLvlLbl val="0"/>
      </c:catAx>
      <c:valAx>
        <c:axId val="36263087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42753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Revenue growth, year over year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Analysis!H18</c:f>
              <c:strCache>
                <c:ptCount val="1"/>
                <c:pt idx="0">
                  <c:v>AppLovin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Analysis!$G$19:$G$22</c:f>
              <c:strCache>
                <c:ptCount val="4"/>
                <c:pt idx="0">
                  <c:v>Q3 2025</c:v>
                </c:pt>
                <c:pt idx="1">
                  <c:v>Q4 2025</c:v>
                </c:pt>
                <c:pt idx="2">
                  <c:v>Q1 2026</c:v>
                </c:pt>
                <c:pt idx="3">
                  <c:v>Q2 2026</c:v>
                </c:pt>
              </c:strCache>
            </c:strRef>
          </c:cat>
          <c:val>
            <c:numRef>
              <c:f>Analysis!$H$19:$H$22</c:f>
              <c:numCache>
                <c:formatCode>0.0%;\(0.0%\);\-</c:formatCode>
                <c:ptCount val="4"/>
                <c:pt idx="0">
                  <c:v>0.68231387978246771</c:v>
                </c:pt>
                <c:pt idx="1">
                  <c:v>0.65879496181541142</c:v>
                </c:pt>
                <c:pt idx="2">
                  <c:v>0.58972418708271301</c:v>
                </c:pt>
                <c:pt idx="3">
                  <c:v>0.52824618630804743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E6-4FA8-8691-B1F0CBE64BAF}"/>
            </c:ext>
          </c:extLst>
        </c:ser>
        <c:ser>
          <c:idx val="1"/>
          <c:order val="1"/>
          <c:tx>
            <c:strRef>
              <c:f>Analysis!I18</c:f>
              <c:strCache>
                <c:ptCount val="1"/>
                <c:pt idx="0">
                  <c:v>Reddit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Analysis!$G$19:$G$22</c:f>
              <c:strCache>
                <c:ptCount val="4"/>
                <c:pt idx="0">
                  <c:v>Q3 2025</c:v>
                </c:pt>
                <c:pt idx="1">
                  <c:v>Q4 2025</c:v>
                </c:pt>
                <c:pt idx="2">
                  <c:v>Q1 2026</c:v>
                </c:pt>
                <c:pt idx="3">
                  <c:v>Q2 2026</c:v>
                </c:pt>
              </c:strCache>
            </c:strRef>
          </c:cat>
          <c:val>
            <c:numRef>
              <c:f>Analysis!$I$19:$I$22</c:f>
              <c:numCache>
                <c:formatCode>0.0%;\(0.0%\);\-</c:formatCode>
                <c:ptCount val="4"/>
                <c:pt idx="0">
                  <c:v>0.67908517558439607</c:v>
                </c:pt>
                <c:pt idx="1">
                  <c:v>0.69651624970773907</c:v>
                </c:pt>
                <c:pt idx="2">
                  <c:v>0.69081789474489042</c:v>
                </c:pt>
                <c:pt idx="3">
                  <c:v>0.61101181481385103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E6-4FA8-8691-B1F0CBE64BAF}"/>
            </c:ext>
          </c:extLst>
        </c:ser>
        <c:ser>
          <c:idx val="2"/>
          <c:order val="2"/>
          <c:tx>
            <c:strRef>
              <c:f>Analysis!J18</c:f>
              <c:strCache>
                <c:ptCount val="1"/>
                <c:pt idx="0">
                  <c:v>Pinterest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Analysis!$G$19:$G$22</c:f>
              <c:strCache>
                <c:ptCount val="4"/>
                <c:pt idx="0">
                  <c:v>Q3 2025</c:v>
                </c:pt>
                <c:pt idx="1">
                  <c:v>Q4 2025</c:v>
                </c:pt>
                <c:pt idx="2">
                  <c:v>Q1 2026</c:v>
                </c:pt>
                <c:pt idx="3">
                  <c:v>Q2 2026</c:v>
                </c:pt>
              </c:strCache>
            </c:strRef>
          </c:cat>
          <c:val>
            <c:numRef>
              <c:f>Analysis!$J$19:$J$22</c:f>
              <c:numCache>
                <c:formatCode>0.0%;\(0.0%\);\-</c:formatCode>
                <c:ptCount val="4"/>
                <c:pt idx="0">
                  <c:v>0.16789462728732918</c:v>
                </c:pt>
                <c:pt idx="1">
                  <c:v>0.1431528510653044</c:v>
                </c:pt>
                <c:pt idx="2">
                  <c:v>0.17839548625243862</c:v>
                </c:pt>
                <c:pt idx="3">
                  <c:v>0.18174924140501103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BE6-4FA8-8691-B1F0CBE64BAF}"/>
            </c:ext>
          </c:extLst>
        </c:ser>
        <c:ser>
          <c:idx val="3"/>
          <c:order val="3"/>
          <c:tx>
            <c:strRef>
              <c:f>Analysis!K18</c:f>
              <c:strCache>
                <c:ptCount val="1"/>
                <c:pt idx="0">
                  <c:v>Duolingo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Analysis!$G$19:$G$22</c:f>
              <c:strCache>
                <c:ptCount val="4"/>
                <c:pt idx="0">
                  <c:v>Q3 2025</c:v>
                </c:pt>
                <c:pt idx="1">
                  <c:v>Q4 2025</c:v>
                </c:pt>
                <c:pt idx="2">
                  <c:v>Q1 2026</c:v>
                </c:pt>
                <c:pt idx="3">
                  <c:v>Q2 2026</c:v>
                </c:pt>
              </c:strCache>
            </c:strRef>
          </c:cat>
          <c:val>
            <c:numRef>
              <c:f>Analysis!$K$19:$K$22</c:f>
              <c:numCache>
                <c:formatCode>0.0%;\(0.0%\);\-</c:formatCode>
                <c:ptCount val="4"/>
                <c:pt idx="0">
                  <c:v>0.41080719025514822</c:v>
                </c:pt>
                <c:pt idx="1">
                  <c:v>0.34988308279646851</c:v>
                </c:pt>
                <c:pt idx="2">
                  <c:v>0.26533415964948004</c:v>
                </c:pt>
                <c:pt idx="3">
                  <c:v>0.18309713991239374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BE6-4FA8-8691-B1F0CBE64B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34914415"/>
        <c:axId val="83227819"/>
      </c:barChart>
      <c:catAx>
        <c:axId val="34914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3227819"/>
        <c:crosses val="autoZero"/>
        <c:auto val="1"/>
        <c:lblAlgn val="ctr"/>
        <c:lblOffset val="100"/>
        <c:noMultiLvlLbl val="0"/>
      </c:catAx>
      <c:valAx>
        <c:axId val="83227819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491441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Q2 2026: revenue growth vs user growth (YoY)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Analysis!B55</c:f>
              <c:strCache>
                <c:ptCount val="1"/>
                <c:pt idx="0">
                  <c:v>Revenue YoY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Analysis!$A$56:$A$58</c:f>
              <c:strCache>
                <c:ptCount val="3"/>
                <c:pt idx="0">
                  <c:v>Reddit</c:v>
                </c:pt>
                <c:pt idx="1">
                  <c:v>Pinterest</c:v>
                </c:pt>
                <c:pt idx="2">
                  <c:v>Duolingo</c:v>
                </c:pt>
              </c:strCache>
            </c:strRef>
          </c:cat>
          <c:val>
            <c:numRef>
              <c:f>Analysis!$B$56:$B$58</c:f>
              <c:numCache>
                <c:formatCode>0.0%;\(0.0%\);\-</c:formatCode>
                <c:ptCount val="3"/>
                <c:pt idx="0">
                  <c:v>0.61101181481385103</c:v>
                </c:pt>
                <c:pt idx="1">
                  <c:v>0.18174924140501103</c:v>
                </c:pt>
                <c:pt idx="2">
                  <c:v>0.18309713991239374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21-4020-B02C-B83679872C78}"/>
            </c:ext>
          </c:extLst>
        </c:ser>
        <c:ser>
          <c:idx val="1"/>
          <c:order val="1"/>
          <c:tx>
            <c:strRef>
              <c:f>Analysis!C55</c:f>
              <c:strCache>
                <c:ptCount val="1"/>
                <c:pt idx="0">
                  <c:v>User YoY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Analysis!$A$56:$A$58</c:f>
              <c:strCache>
                <c:ptCount val="3"/>
                <c:pt idx="0">
                  <c:v>Reddit</c:v>
                </c:pt>
                <c:pt idx="1">
                  <c:v>Pinterest</c:v>
                </c:pt>
                <c:pt idx="2">
                  <c:v>Duolingo</c:v>
                </c:pt>
              </c:strCache>
            </c:strRef>
          </c:cat>
          <c:val>
            <c:numRef>
              <c:f>Analysis!$C$56:$C$58</c:f>
              <c:numCache>
                <c:formatCode>0.0%;\(0.0%\);\-</c:formatCode>
                <c:ptCount val="3"/>
                <c:pt idx="0">
                  <c:v>0.18025362318840576</c:v>
                </c:pt>
                <c:pt idx="1">
                  <c:v>0.10726643598615926</c:v>
                </c:pt>
                <c:pt idx="2">
                  <c:v>0.23060796645702308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21-4020-B02C-B83679872C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477367"/>
        <c:axId val="87250364"/>
      </c:barChart>
      <c:catAx>
        <c:axId val="42477367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7250364"/>
        <c:crosses val="autoZero"/>
        <c:auto val="1"/>
        <c:lblAlgn val="ctr"/>
        <c:lblOffset val="100"/>
        <c:noMultiLvlLbl val="0"/>
      </c:catAx>
      <c:valAx>
        <c:axId val="8725036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247736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Pinterest revenue by region ($M)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'Pinterest Regions'!B4</c:f>
              <c:strCache>
                <c:ptCount val="1"/>
                <c:pt idx="0">
                  <c:v>US &amp; Canada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'Pinterest Regions'!$A$5:$A$12</c:f>
              <c:strCache>
                <c:ptCount val="8"/>
                <c:pt idx="0">
                  <c:v>Q3 2024</c:v>
                </c:pt>
                <c:pt idx="1">
                  <c:v>Q4 2024</c:v>
                </c:pt>
                <c:pt idx="2">
                  <c:v>Q1 2025</c:v>
                </c:pt>
                <c:pt idx="3">
                  <c:v>Q2 2025</c:v>
                </c:pt>
                <c:pt idx="4">
                  <c:v>Q3 2025</c:v>
                </c:pt>
                <c:pt idx="5">
                  <c:v>Q4 2025</c:v>
                </c:pt>
                <c:pt idx="6">
                  <c:v>Q1 2026</c:v>
                </c:pt>
                <c:pt idx="7">
                  <c:v>Q2 2026</c:v>
                </c:pt>
              </c:strCache>
            </c:strRef>
          </c:cat>
          <c:val>
            <c:numRef>
              <c:f>'Pinterest Regions'!$B$5:$B$12</c:f>
              <c:numCache>
                <c:formatCode>\$#,##0</c:formatCode>
                <c:ptCount val="8"/>
                <c:pt idx="0">
                  <c:v>719</c:v>
                </c:pt>
                <c:pt idx="1">
                  <c:v>900</c:v>
                </c:pt>
                <c:pt idx="2">
                  <c:v>663</c:v>
                </c:pt>
                <c:pt idx="3">
                  <c:v>745</c:v>
                </c:pt>
                <c:pt idx="4">
                  <c:v>786</c:v>
                </c:pt>
                <c:pt idx="5">
                  <c:v>979</c:v>
                </c:pt>
                <c:pt idx="6">
                  <c:v>750</c:v>
                </c:pt>
                <c:pt idx="7">
                  <c:v>880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EA-4963-82AE-8E30FD32A9E1}"/>
            </c:ext>
          </c:extLst>
        </c:ser>
        <c:ser>
          <c:idx val="1"/>
          <c:order val="1"/>
          <c:tx>
            <c:strRef>
              <c:f>'Pinterest Regions'!C4</c:f>
              <c:strCache>
                <c:ptCount val="1"/>
                <c:pt idx="0">
                  <c:v>Europe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'Pinterest Regions'!$A$5:$A$12</c:f>
              <c:strCache>
                <c:ptCount val="8"/>
                <c:pt idx="0">
                  <c:v>Q3 2024</c:v>
                </c:pt>
                <c:pt idx="1">
                  <c:v>Q4 2024</c:v>
                </c:pt>
                <c:pt idx="2">
                  <c:v>Q1 2025</c:v>
                </c:pt>
                <c:pt idx="3">
                  <c:v>Q2 2025</c:v>
                </c:pt>
                <c:pt idx="4">
                  <c:v>Q3 2025</c:v>
                </c:pt>
                <c:pt idx="5">
                  <c:v>Q4 2025</c:v>
                </c:pt>
                <c:pt idx="6">
                  <c:v>Q1 2026</c:v>
                </c:pt>
                <c:pt idx="7">
                  <c:v>Q2 2026</c:v>
                </c:pt>
              </c:strCache>
            </c:strRef>
          </c:cat>
          <c:val>
            <c:numRef>
              <c:f>'Pinterest Regions'!$C$5:$C$12</c:f>
              <c:numCache>
                <c:formatCode>\$#,##0</c:formatCode>
                <c:ptCount val="8"/>
                <c:pt idx="0">
                  <c:v>137</c:v>
                </c:pt>
                <c:pt idx="1">
                  <c:v>196</c:v>
                </c:pt>
                <c:pt idx="2">
                  <c:v>147</c:v>
                </c:pt>
                <c:pt idx="3">
                  <c:v>191</c:v>
                </c:pt>
                <c:pt idx="4">
                  <c:v>193</c:v>
                </c:pt>
                <c:pt idx="5">
                  <c:v>245</c:v>
                </c:pt>
                <c:pt idx="6">
                  <c:v>186</c:v>
                </c:pt>
                <c:pt idx="7">
                  <c:v>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EA-4963-82AE-8E30FD32A9E1}"/>
            </c:ext>
          </c:extLst>
        </c:ser>
        <c:ser>
          <c:idx val="2"/>
          <c:order val="2"/>
          <c:tx>
            <c:strRef>
              <c:f>'Pinterest Regions'!D4</c:f>
              <c:strCache>
                <c:ptCount val="1"/>
                <c:pt idx="0">
                  <c:v>Rest of World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'Pinterest Regions'!$A$5:$A$12</c:f>
              <c:strCache>
                <c:ptCount val="8"/>
                <c:pt idx="0">
                  <c:v>Q3 2024</c:v>
                </c:pt>
                <c:pt idx="1">
                  <c:v>Q4 2024</c:v>
                </c:pt>
                <c:pt idx="2">
                  <c:v>Q1 2025</c:v>
                </c:pt>
                <c:pt idx="3">
                  <c:v>Q2 2025</c:v>
                </c:pt>
                <c:pt idx="4">
                  <c:v>Q3 2025</c:v>
                </c:pt>
                <c:pt idx="5">
                  <c:v>Q4 2025</c:v>
                </c:pt>
                <c:pt idx="6">
                  <c:v>Q1 2026</c:v>
                </c:pt>
                <c:pt idx="7">
                  <c:v>Q2 2026</c:v>
                </c:pt>
              </c:strCache>
            </c:strRef>
          </c:cat>
          <c:val>
            <c:numRef>
              <c:f>'Pinterest Regions'!$D$5:$D$12</c:f>
              <c:numCache>
                <c:formatCode>\$#,##0</c:formatCode>
                <c:ptCount val="8"/>
                <c:pt idx="0">
                  <c:v>42</c:v>
                </c:pt>
                <c:pt idx="1">
                  <c:v>58</c:v>
                </c:pt>
                <c:pt idx="2">
                  <c:v>45</c:v>
                </c:pt>
                <c:pt idx="3">
                  <c:v>63</c:v>
                </c:pt>
                <c:pt idx="4">
                  <c:v>70</c:v>
                </c:pt>
                <c:pt idx="5">
                  <c:v>96</c:v>
                </c:pt>
                <c:pt idx="6">
                  <c:v>72</c:v>
                </c:pt>
                <c:pt idx="7">
                  <c:v>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FEA-4963-82AE-8E30FD32A9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5352132"/>
        <c:axId val="16937801"/>
      </c:barChart>
      <c:catAx>
        <c:axId val="853521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6937801"/>
        <c:crosses val="autoZero"/>
        <c:auto val="1"/>
        <c:lblAlgn val="ctr"/>
        <c:lblOffset val="100"/>
        <c:noMultiLvlLbl val="0"/>
      </c:catAx>
      <c:valAx>
        <c:axId val="16937801"/>
        <c:scaling>
          <c:orientation val="minMax"/>
        </c:scaling>
        <c:delete val="0"/>
        <c:axPos val="l"/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535213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20</xdr:row>
      <xdr:rowOff>131040</xdr:rowOff>
    </xdr:from>
    <xdr:to>
      <xdr:col>6</xdr:col>
      <xdr:colOff>269280</xdr:colOff>
      <xdr:row>36</xdr:row>
      <xdr:rowOff>142560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20</xdr:row>
      <xdr:rowOff>131040</xdr:rowOff>
    </xdr:from>
    <xdr:to>
      <xdr:col>14</xdr:col>
      <xdr:colOff>101880</xdr:colOff>
      <xdr:row>36</xdr:row>
      <xdr:rowOff>142560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38</xdr:row>
      <xdr:rowOff>131040</xdr:rowOff>
    </xdr:from>
    <xdr:to>
      <xdr:col>6</xdr:col>
      <xdr:colOff>269280</xdr:colOff>
      <xdr:row>54</xdr:row>
      <xdr:rowOff>142560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0</xdr:colOff>
      <xdr:row>38</xdr:row>
      <xdr:rowOff>131040</xdr:rowOff>
    </xdr:from>
    <xdr:to>
      <xdr:col>14</xdr:col>
      <xdr:colOff>101880</xdr:colOff>
      <xdr:row>54</xdr:row>
      <xdr:rowOff>142560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56</xdr:row>
      <xdr:rowOff>131040</xdr:rowOff>
    </xdr:from>
    <xdr:to>
      <xdr:col>6</xdr:col>
      <xdr:colOff>269280</xdr:colOff>
      <xdr:row>70</xdr:row>
      <xdr:rowOff>163440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131040</xdr:rowOff>
    </xdr:from>
    <xdr:to>
      <xdr:col>7</xdr:col>
      <xdr:colOff>699840</xdr:colOff>
      <xdr:row>31</xdr:row>
      <xdr:rowOff>153000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Quarterly" displayName="tblQuarterly" ref="A4:K36" totalsRowShown="0">
  <autoFilter ref="A4:K36" xr:uid="{00000000-0009-0000-0100-000001000000}"/>
  <tableColumns count="11">
    <tableColumn id="1" xr3:uid="{00000000-0010-0000-0000-000001000000}" name="Company"/>
    <tableColumn id="2" xr3:uid="{00000000-0010-0000-0000-000002000000}" name="Ticker"/>
    <tableColumn id="3" xr3:uid="{00000000-0010-0000-0000-000003000000}" name="Quarter"/>
    <tableColumn id="4" xr3:uid="{00000000-0010-0000-0000-000004000000}" name="Period end"/>
    <tableColumn id="5" xr3:uid="{00000000-0010-0000-0000-000005000000}" name="Q index"/>
    <tableColumn id="6" xr3:uid="{00000000-0010-0000-0000-000006000000}" name="Revenue ($M)"/>
    <tableColumn id="7" xr3:uid="{00000000-0010-0000-0000-000007000000}" name="Adj. EBITDA ($M)"/>
    <tableColumn id="8" xr3:uid="{00000000-0010-0000-0000-000008000000}" name="User metric"/>
    <tableColumn id="9" xr3:uid="{00000000-0010-0000-0000-000009000000}" name="Users (M)"/>
    <tableColumn id="10" xr3:uid="{00000000-0010-0000-0000-00000A000000}" name="ARPU ($)"/>
    <tableColumn id="11" xr3:uid="{00000000-0010-0000-0000-00000B000000}" name="Source ke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ec.gov/Archives/edgar/data/0001713445/000171344526000098/earningspressreleaseq226.htm" TargetMode="External"/><Relationship Id="rId13" Type="http://schemas.openxmlformats.org/officeDocument/2006/relationships/hyperlink" Target="https://www.sec.gov/Archives/edgar/data/1562088/000162828025049514/q3fy25duolingo9-30x25share.htm" TargetMode="External"/><Relationship Id="rId3" Type="http://schemas.openxmlformats.org/officeDocument/2006/relationships/hyperlink" Target="https://www.sec.gov/Archives/edgar/data/0001751008/000175100826000042/exhibit991-1q26earningspre.htm" TargetMode="External"/><Relationship Id="rId7" Type="http://schemas.openxmlformats.org/officeDocument/2006/relationships/hyperlink" Target="https://www.sec.gov/Archives/edgar/data/0001713445/000171344526000067/earningspressreleaseq126.htm" TargetMode="External"/><Relationship Id="rId12" Type="http://schemas.openxmlformats.org/officeDocument/2006/relationships/hyperlink" Target="https://www.sec.gov/Archives/edgar/data/0001506293/000150629326000102/q2-26xpressrelease.htm" TargetMode="External"/><Relationship Id="rId2" Type="http://schemas.openxmlformats.org/officeDocument/2006/relationships/hyperlink" Target="https://s21.q4cdn.com/165405286/files/doc_financials/2025/q4/v2/4Q25-AppLovin-Press-Release.pdf" TargetMode="External"/><Relationship Id="rId16" Type="http://schemas.openxmlformats.org/officeDocument/2006/relationships/hyperlink" Target="https://www.sec.gov/Archives/edgar/data/0001562088/000162828026053299/q2fy26duolingo6-30x26share.htm" TargetMode="External"/><Relationship Id="rId1" Type="http://schemas.openxmlformats.org/officeDocument/2006/relationships/hyperlink" Target="https://www.sec.gov/Archives/edgar/data/1751008/000175100825000079/exhibit991-3q25earningspre.htm" TargetMode="External"/><Relationship Id="rId6" Type="http://schemas.openxmlformats.org/officeDocument/2006/relationships/hyperlink" Target="https://www.businesswire.com/news/home/20260205441801/en/Reddit-Reports-Fourth-Quarter-and-Full-Year-2025-Results-Announces-%241-Billion-Share-Repurchase-Program" TargetMode="External"/><Relationship Id="rId11" Type="http://schemas.openxmlformats.org/officeDocument/2006/relationships/hyperlink" Target="https://www.sec.gov/Archives/edgar/data/0001506293/000150629326000066/q1-26xpressrelease.htm" TargetMode="External"/><Relationship Id="rId5" Type="http://schemas.openxmlformats.org/officeDocument/2006/relationships/hyperlink" Target="https://www.sec.gov/Archives/edgar/data/1713445/000171344525000225/earningspressreleaseq325.htm" TargetMode="External"/><Relationship Id="rId15" Type="http://schemas.openxmlformats.org/officeDocument/2006/relationships/hyperlink" Target="https://www.sec.gov/Archives/edgar/data/0001562088/000162828026029790/q1fy26duolingo3-31x26share.htm" TargetMode="External"/><Relationship Id="rId10" Type="http://schemas.openxmlformats.org/officeDocument/2006/relationships/hyperlink" Target="https://www.businesswire.com/news/home/20260212059914/en/Pinterest-Announces-Fourth-Quarter-and-Full-Year-2025-Results-Delivers-14-Revenue-Growth-and-Record-Users" TargetMode="External"/><Relationship Id="rId4" Type="http://schemas.openxmlformats.org/officeDocument/2006/relationships/hyperlink" Target="https://www.sec.gov/Archives/edgar/data/0001751008/000175100826000057/exhibit991-2q26earningspre.htm" TargetMode="External"/><Relationship Id="rId9" Type="http://schemas.openxmlformats.org/officeDocument/2006/relationships/hyperlink" Target="https://www.sec.gov/Archives/edgar/data/1506293/000150629325000228/q3-25xpressrelease.htm" TargetMode="External"/><Relationship Id="rId14" Type="http://schemas.openxmlformats.org/officeDocument/2006/relationships/hyperlink" Target="https://www.sec.gov/Archives/edgar/data/1562088/000162828026012246/q4fy25duolingo12-31x25shar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showGridLines="0" topLeftCell="A52" zoomScaleNormal="100" workbookViewId="0">
      <selection activeCell="D74" sqref="D74"/>
    </sheetView>
  </sheetViews>
  <sheetFormatPr defaultColWidth="8.7109375" defaultRowHeight="15"/>
  <cols>
    <col min="1" max="1" width="24" customWidth="1"/>
    <col min="2" max="5" width="14" customWidth="1"/>
    <col min="6" max="6" width="3" customWidth="1"/>
    <col min="7" max="9" width="14" customWidth="1"/>
  </cols>
  <sheetData>
    <row r="1" spans="1:5" ht="19.7">
      <c r="A1" s="1" t="s">
        <v>0</v>
      </c>
    </row>
    <row r="2" spans="1:5">
      <c r="A2" s="2" t="s">
        <v>1</v>
      </c>
    </row>
    <row r="4" spans="1:5">
      <c r="A4" s="3" t="s">
        <v>2</v>
      </c>
    </row>
    <row r="5" spans="1:5">
      <c r="A5" s="4" t="s">
        <v>3</v>
      </c>
      <c r="B5" s="5" t="s">
        <v>4</v>
      </c>
      <c r="C5" s="2" t="s">
        <v>5</v>
      </c>
    </row>
    <row r="7" spans="1:5" ht="21.75" customHeight="1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</row>
    <row r="8" spans="1:5">
      <c r="A8" s="8" t="s">
        <v>11</v>
      </c>
      <c r="B8" s="9">
        <f>INDEX(Analysis!B$7:B$14,MATCH($B$5,Analysis!$A$7:$A$14,0))</f>
        <v>1657.944</v>
      </c>
      <c r="C8" s="9">
        <f>INDEX(Analysis!C$7:C$14,MATCH($B$5,Analysis!$A$7:$A$14,0))</f>
        <v>725.6</v>
      </c>
      <c r="D8" s="9">
        <f>INDEX(Analysis!D$7:D$14,MATCH($B$5,Analysis!$A$7:$A$14,0))</f>
        <v>1319.347</v>
      </c>
      <c r="E8" s="9">
        <f>INDEX(Analysis!E$7:E$14,MATCH($B$5,Analysis!$A$7:$A$14,0))</f>
        <v>282.86799999999999</v>
      </c>
    </row>
    <row r="9" spans="1:5">
      <c r="A9" s="8" t="s">
        <v>12</v>
      </c>
      <c r="B9" s="10">
        <f>INDEX(Analysis!B$7:B$14,MATCH($B$5,Analysis!$A$7:$A$14,0))/INDEX(Analysis!B$7:B$14,MATCH($B$5,Analysis!$A$7:$A$14,0)-4)-1</f>
        <v>0.65879496181541142</v>
      </c>
      <c r="C9" s="10">
        <f>INDEX(Analysis!C$7:C$14,MATCH($B$5,Analysis!$A$7:$A$14,0))/INDEX(Analysis!C$7:C$14,MATCH($B$5,Analysis!$A$7:$A$14,0)-4)-1</f>
        <v>0.69651624970773907</v>
      </c>
      <c r="D9" s="10">
        <f>INDEX(Analysis!D$7:D$14,MATCH($B$5,Analysis!$A$7:$A$14,0))/INDEX(Analysis!D$7:D$14,MATCH($B$5,Analysis!$A$7:$A$14,0)-4)-1</f>
        <v>0.1431528510653044</v>
      </c>
      <c r="E9" s="10">
        <f>INDEX(Analysis!E$7:E$14,MATCH($B$5,Analysis!$A$7:$A$14,0))/INDEX(Analysis!E$7:E$14,MATCH($B$5,Analysis!$A$7:$A$14,0)-4)-1</f>
        <v>0.34988308279646851</v>
      </c>
    </row>
    <row r="10" spans="1:5">
      <c r="A10" s="8" t="s">
        <v>13</v>
      </c>
      <c r="B10" s="10">
        <f>INDEX(Analysis!B$7:B$14,MATCH($B$5,Analysis!$A$7:$A$14,0))/INDEX(Analysis!B$7:B$14,MATCH($B$5,Analysis!$A$7:$A$14,0)-1)-1</f>
        <v>0.17999352333911012</v>
      </c>
      <c r="C10" s="10">
        <f>INDEX(Analysis!C$7:C$14,MATCH($B$5,Analysis!$A$7:$A$14,0))/INDEX(Analysis!C$7:C$14,MATCH($B$5,Analysis!$A$7:$A$14,0)-1)-1</f>
        <v>0.24053061063990944</v>
      </c>
      <c r="D10" s="10">
        <f>INDEX(Analysis!D$7:D$14,MATCH($B$5,Analysis!$A$7:$A$14,0))/INDEX(Analysis!D$7:D$14,MATCH($B$5,Analysis!$A$7:$A$14,0)-1)-1</f>
        <v>0.25747303911056463</v>
      </c>
      <c r="E10" s="10">
        <f>INDEX(Analysis!E$7:E$14,MATCH($B$5,Analysis!$A$7:$A$14,0))/INDEX(Analysis!E$7:E$14,MATCH($B$5,Analysis!$A$7:$A$14,0)-1)-1</f>
        <v>4.1054347786082968E-2</v>
      </c>
    </row>
    <row r="11" spans="1:5">
      <c r="A11" s="8" t="s">
        <v>14</v>
      </c>
      <c r="B11" s="10">
        <f>INDEX(Analysis!B$30:B$37,MATCH($B$5,Analysis!$A$30:$A$37,0))</f>
        <v>0.84362258315118011</v>
      </c>
      <c r="C11" s="10">
        <f>INDEX(Analysis!C$30:C$37,MATCH($B$5,Analysis!$A$30:$A$37,0))</f>
        <v>0.45066152149944871</v>
      </c>
      <c r="D11" s="10">
        <f>INDEX(Analysis!D$30:D$37,MATCH($B$5,Analysis!$A$30:$A$37,0))</f>
        <v>0.41043031135857361</v>
      </c>
      <c r="E11" s="10">
        <f>INDEX(Analysis!E$30:E$37,MATCH($B$5,Analysis!$A$30:$A$37,0))</f>
        <v>0.29818855437872083</v>
      </c>
    </row>
    <row r="12" spans="1:5">
      <c r="A12" s="8" t="s">
        <v>15</v>
      </c>
      <c r="B12" s="9">
        <f ca="1">SUM(OFFSET(Analysis!B$7,MATCH($B$5,Analysis!$A$7:$A$14,0)-4,0,4,1))</f>
        <v>5480.7170000000006</v>
      </c>
      <c r="C12" s="9">
        <f ca="1">SUM(OFFSET(Analysis!C$7,MATCH($B$5,Analysis!$A$7:$A$14,0)-4,0,4,1))</f>
        <v>2202.4989999999998</v>
      </c>
      <c r="D12" s="9">
        <f ca="1">SUM(OFFSET(Analysis!D$7,MATCH($B$5,Analysis!$A$7:$A$14,0)-4,0,4,1))</f>
        <v>4221.7669999999998</v>
      </c>
      <c r="E12" s="9">
        <f ca="1">SUM(OFFSET(Analysis!E$7,MATCH($B$5,Analysis!$A$7:$A$14,0)-4,0,4,1))</f>
        <v>1037.5889999999999</v>
      </c>
    </row>
    <row r="13" spans="1:5">
      <c r="A13" s="8" t="s">
        <v>16</v>
      </c>
      <c r="B13" s="10">
        <f>B8/SUM($B$8:$E$8)</f>
        <v>0.41596694632063808</v>
      </c>
      <c r="C13" s="10">
        <f>C8/SUM($B$8:$E$8)</f>
        <v>0.18204813687932464</v>
      </c>
      <c r="D13" s="10">
        <f>D8/SUM($B$8:$E$8)</f>
        <v>0.33101524703325014</v>
      </c>
      <c r="E13" s="10">
        <f>E8/SUM($B$8:$E$8)</f>
        <v>7.0969669766787216E-2</v>
      </c>
    </row>
    <row r="15" spans="1:5">
      <c r="A15" s="3" t="s">
        <v>17</v>
      </c>
    </row>
    <row r="16" spans="1:5">
      <c r="A16" s="11" t="str">
        <f>"Fastest grower: "&amp;INDEX($B$7:$E$7,MATCH(MAX($B$9:$E$9),$B$9:$E$9,0))&amp;" at "&amp;TEXT(MAX($B$9:$E$9),"0%")&amp;" YoY revenue growth in "&amp;$B$5&amp;"."</f>
        <v>Fastest grower: Reddit at 70% YoY revenue growth in Q4 2025.</v>
      </c>
    </row>
    <row r="17" spans="1:1">
      <c r="A17" s="11" t="str">
        <f>"Most profitable: "&amp;INDEX($B$7:$E$7,MATCH(MAX($B$11:$E$11),$B$11:$E$11,0))&amp;", converting "&amp;TEXT(MAX($B$11:$E$11),"0%")&amp;" of revenue to adj. EBITDA."</f>
        <v>Most profitable: AppLovin, converting 84% of revenue to adj. EBITDA.</v>
      </c>
    </row>
    <row r="18" spans="1:1">
      <c r="A18" s="11" t="str">
        <f>"Monetization: Reddit revenue grew "&amp;TEXT(Analysis!B56,"0%")&amp;" vs "&amp;TEXT(Analysis!C56,"0%")&amp;" user growth in Q2 2026, a "&amp;TEXT(Analysis!D56*100,"0")&amp;"-point gap. ARPU, not audience, is driving sales."</f>
        <v>Monetization: Reddit revenue grew 61% vs 18% user growth in Q2 2026, a 43-point gap. ARPU, not audience, is driving sales.</v>
      </c>
    </row>
    <row r="19" spans="1:1">
      <c r="A19" s="11" t="str">
        <f>"Outlook: guidance midpoints imply Q3 2026 YoY growth of "&amp;TEXT(Analysis!K56,"0%")&amp;" (AppLovin), "&amp;TEXT(Analysis!K57,"0%")&amp;" (Reddit), "&amp;TEXT(Analysis!K58,"0%")&amp;" (Pinterest) and "&amp;TEXT(Analysis!K59,"0%")&amp;" (Duolingo)."</f>
        <v>Outlook: guidance midpoints imply Q3 2026 YoY growth of 47% (AppLovin), 48% (Reddit), 14% (Pinterest) and 11% (Duolingo).</v>
      </c>
    </row>
  </sheetData>
  <conditionalFormatting sqref="B9:E9">
    <cfRule type="dataBar" priority="2">
      <dataBar>
        <cfvo type="num" val="0"/>
        <cfvo type="max"/>
        <color rgb="FF5B9BD5"/>
      </dataBar>
      <extLst>
        <ext xmlns:x14="http://schemas.microsoft.com/office/spreadsheetml/2009/9/main" uri="{B025F937-C7B1-47D3-B67F-A62EFF666E3E}">
          <x14:id>{63DB82EC-ED6B-4D60-9865-A95273CFC054}</x14:id>
        </ext>
      </extLst>
    </cfRule>
  </conditionalFormatting>
  <conditionalFormatting sqref="B11:E11">
    <cfRule type="dataBar" priority="3">
      <dataBar>
        <cfvo type="num" val="0"/>
        <cfvo type="max"/>
        <color rgb="FF70AD47"/>
      </dataBar>
      <extLst>
        <ext xmlns:x14="http://schemas.microsoft.com/office/spreadsheetml/2009/9/main" uri="{B025F937-C7B1-47D3-B67F-A62EFF666E3E}">
          <x14:id>{DECB3C16-AF5A-4BD1-8A8D-EA82E4EE4CE6}</x14:id>
        </ext>
      </extLst>
    </cfRule>
  </conditionalFormatting>
  <conditionalFormatting sqref="B10:E10">
    <cfRule type="cellIs" dxfId="1" priority="4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3DB82EC-ED6B-4D60-9865-A95273CFC054}">
            <x14:dataBar axisPosition="none">
              <x14:cfvo type="num">
                <xm:f>0</xm:f>
              </x14:cfvo>
              <x14:cfvo type="max"/>
              <x14:negativeFillColor rgb="FF5B9BD5"/>
            </x14:dataBar>
          </x14:cfRule>
          <xm:sqref>B9:E9</xm:sqref>
        </x14:conditionalFormatting>
        <x14:conditionalFormatting xmlns:xm="http://schemas.microsoft.com/office/excel/2006/main">
          <x14:cfRule type="dataBar" id="{DECB3C16-AF5A-4BD1-8A8D-EA82E4EE4CE6}">
            <x14:dataBar axisPosition="none">
              <x14:cfvo type="num">
                <xm:f>0</xm:f>
              </x14:cfvo>
              <x14:cfvo type="max"/>
              <x14:negativeFillColor rgb="FF70AD47"/>
            </x14:dataBar>
          </x14:cfRule>
          <xm:sqref>B11:E11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1"/>
  <sheetViews>
    <sheetView showGridLines="0" zoomScaleNormal="100" workbookViewId="0">
      <pane ySplit="4" topLeftCell="A5" activePane="bottomLeft" state="frozen"/>
      <selection pane="bottomLeft" activeCell="A2" sqref="A2"/>
    </sheetView>
  </sheetViews>
  <sheetFormatPr defaultColWidth="8.7109375" defaultRowHeight="15"/>
  <cols>
    <col min="1" max="1" width="12" customWidth="1"/>
    <col min="2" max="2" width="8" customWidth="1"/>
    <col min="3" max="3" width="10" customWidth="1"/>
    <col min="4" max="4" width="12" customWidth="1"/>
    <col min="5" max="5" width="9" customWidth="1"/>
    <col min="6" max="7" width="14" customWidth="1"/>
    <col min="8" max="8" width="12" customWidth="1"/>
    <col min="9" max="9" width="11" customWidth="1"/>
    <col min="10" max="10" width="10" customWidth="1"/>
    <col min="11" max="11" width="12" customWidth="1"/>
  </cols>
  <sheetData>
    <row r="1" spans="1:11" ht="19.7">
      <c r="A1" s="1" t="s">
        <v>18</v>
      </c>
    </row>
    <row r="2" spans="1:11">
      <c r="A2" s="2" t="s">
        <v>19</v>
      </c>
    </row>
    <row r="4" spans="1:11" ht="30" customHeight="1">
      <c r="A4" s="6" t="s">
        <v>20</v>
      </c>
      <c r="B4" s="7" t="s">
        <v>21</v>
      </c>
      <c r="C4" s="7" t="s">
        <v>22</v>
      </c>
      <c r="D4" s="7" t="s">
        <v>23</v>
      </c>
      <c r="E4" s="7" t="s">
        <v>24</v>
      </c>
      <c r="F4" s="7" t="s">
        <v>11</v>
      </c>
      <c r="G4" s="7" t="s">
        <v>25</v>
      </c>
      <c r="H4" s="7" t="s">
        <v>26</v>
      </c>
      <c r="I4" s="7" t="s">
        <v>27</v>
      </c>
      <c r="J4" s="7" t="s">
        <v>28</v>
      </c>
      <c r="K4" s="7" t="s">
        <v>29</v>
      </c>
    </row>
    <row r="5" spans="1:11">
      <c r="A5" s="11" t="s">
        <v>7</v>
      </c>
      <c r="B5" s="11" t="s">
        <v>30</v>
      </c>
      <c r="C5" s="11" t="s">
        <v>31</v>
      </c>
      <c r="D5" s="11" t="s">
        <v>32</v>
      </c>
      <c r="E5" s="11">
        <v>1</v>
      </c>
      <c r="F5" s="12">
        <v>835.18600000000004</v>
      </c>
      <c r="G5" s="12">
        <v>647.01700000000005</v>
      </c>
      <c r="H5" s="11" t="s">
        <v>33</v>
      </c>
      <c r="I5" s="13"/>
      <c r="J5" s="14"/>
      <c r="K5" s="11" t="s">
        <v>34</v>
      </c>
    </row>
    <row r="6" spans="1:11">
      <c r="A6" s="11" t="s">
        <v>7</v>
      </c>
      <c r="B6" s="11" t="s">
        <v>30</v>
      </c>
      <c r="C6" s="11" t="s">
        <v>35</v>
      </c>
      <c r="D6" s="11" t="s">
        <v>36</v>
      </c>
      <c r="E6" s="11">
        <v>2</v>
      </c>
      <c r="F6" s="12">
        <v>999.48699999999997</v>
      </c>
      <c r="G6" s="12">
        <v>769.83199999999999</v>
      </c>
      <c r="H6" s="11" t="s">
        <v>33</v>
      </c>
      <c r="I6" s="13"/>
      <c r="J6" s="14"/>
      <c r="K6" s="11" t="s">
        <v>37</v>
      </c>
    </row>
    <row r="7" spans="1:11">
      <c r="A7" s="11" t="s">
        <v>7</v>
      </c>
      <c r="B7" s="11" t="s">
        <v>30</v>
      </c>
      <c r="C7" s="11" t="s">
        <v>38</v>
      </c>
      <c r="D7" s="11" t="s">
        <v>39</v>
      </c>
      <c r="E7" s="11">
        <v>3</v>
      </c>
      <c r="F7" s="12">
        <v>1158.9739999999999</v>
      </c>
      <c r="G7" s="12">
        <v>937.77200000000005</v>
      </c>
      <c r="H7" s="11" t="s">
        <v>33</v>
      </c>
      <c r="I7" s="13"/>
      <c r="J7" s="14"/>
      <c r="K7" s="11" t="s">
        <v>40</v>
      </c>
    </row>
    <row r="8" spans="1:11">
      <c r="A8" s="11" t="s">
        <v>7</v>
      </c>
      <c r="B8" s="11" t="s">
        <v>30</v>
      </c>
      <c r="C8" s="11" t="s">
        <v>41</v>
      </c>
      <c r="D8" s="11" t="s">
        <v>42</v>
      </c>
      <c r="E8" s="11">
        <v>4</v>
      </c>
      <c r="F8" s="12">
        <v>1258.7539999999999</v>
      </c>
      <c r="G8" s="12">
        <v>1018.347</v>
      </c>
      <c r="H8" s="11" t="s">
        <v>33</v>
      </c>
      <c r="I8" s="13"/>
      <c r="J8" s="14"/>
      <c r="K8" s="11" t="s">
        <v>43</v>
      </c>
    </row>
    <row r="9" spans="1:11">
      <c r="A9" s="11" t="s">
        <v>7</v>
      </c>
      <c r="B9" s="11" t="s">
        <v>30</v>
      </c>
      <c r="C9" s="11" t="s">
        <v>44</v>
      </c>
      <c r="D9" s="11" t="s">
        <v>45</v>
      </c>
      <c r="E9" s="11">
        <v>5</v>
      </c>
      <c r="F9" s="12">
        <v>1405.0450000000001</v>
      </c>
      <c r="G9" s="12">
        <v>1157.654</v>
      </c>
      <c r="H9" s="11" t="s">
        <v>33</v>
      </c>
      <c r="I9" s="13"/>
      <c r="J9" s="14"/>
      <c r="K9" s="11" t="s">
        <v>34</v>
      </c>
    </row>
    <row r="10" spans="1:11">
      <c r="A10" s="11" t="s">
        <v>7</v>
      </c>
      <c r="B10" s="11" t="s">
        <v>30</v>
      </c>
      <c r="C10" s="11" t="s">
        <v>4</v>
      </c>
      <c r="D10" s="11" t="s">
        <v>46</v>
      </c>
      <c r="E10" s="11">
        <v>6</v>
      </c>
      <c r="F10" s="12">
        <v>1657.944</v>
      </c>
      <c r="G10" s="12">
        <v>1398.6790000000001</v>
      </c>
      <c r="H10" s="11" t="s">
        <v>33</v>
      </c>
      <c r="I10" s="13"/>
      <c r="J10" s="14"/>
      <c r="K10" s="11" t="s">
        <v>37</v>
      </c>
    </row>
    <row r="11" spans="1:11">
      <c r="A11" s="11" t="s">
        <v>7</v>
      </c>
      <c r="B11" s="11" t="s">
        <v>30</v>
      </c>
      <c r="C11" s="11" t="s">
        <v>47</v>
      </c>
      <c r="D11" s="11" t="s">
        <v>48</v>
      </c>
      <c r="E11" s="11">
        <v>7</v>
      </c>
      <c r="F11" s="12">
        <v>1842.4490000000001</v>
      </c>
      <c r="G11" s="12">
        <v>1556.9190000000001</v>
      </c>
      <c r="H11" s="11" t="s">
        <v>33</v>
      </c>
      <c r="I11" s="13"/>
      <c r="J11" s="14"/>
      <c r="K11" s="11" t="s">
        <v>40</v>
      </c>
    </row>
    <row r="12" spans="1:11">
      <c r="A12" s="11" t="s">
        <v>7</v>
      </c>
      <c r="B12" s="11" t="s">
        <v>30</v>
      </c>
      <c r="C12" s="11" t="s">
        <v>49</v>
      </c>
      <c r="D12" s="11" t="s">
        <v>50</v>
      </c>
      <c r="E12" s="11">
        <v>8</v>
      </c>
      <c r="F12" s="12">
        <v>1923.6859999999999</v>
      </c>
      <c r="G12" s="12">
        <v>1613.8230000000001</v>
      </c>
      <c r="H12" s="11" t="s">
        <v>33</v>
      </c>
      <c r="I12" s="13"/>
      <c r="J12" s="14"/>
      <c r="K12" s="11" t="s">
        <v>43</v>
      </c>
    </row>
    <row r="13" spans="1:11">
      <c r="A13" s="11" t="s">
        <v>8</v>
      </c>
      <c r="B13" s="11" t="s">
        <v>51</v>
      </c>
      <c r="C13" s="11" t="s">
        <v>31</v>
      </c>
      <c r="D13" s="11" t="s">
        <v>32</v>
      </c>
      <c r="E13" s="11">
        <v>1</v>
      </c>
      <c r="F13" s="12">
        <v>348.351</v>
      </c>
      <c r="G13" s="12">
        <v>94.149000000000001</v>
      </c>
      <c r="H13" s="11" t="s">
        <v>52</v>
      </c>
      <c r="I13" s="13">
        <v>97.2</v>
      </c>
      <c r="J13" s="14">
        <v>3.58</v>
      </c>
      <c r="K13" s="11" t="s">
        <v>53</v>
      </c>
    </row>
    <row r="14" spans="1:11">
      <c r="A14" s="11" t="s">
        <v>8</v>
      </c>
      <c r="B14" s="11" t="s">
        <v>51</v>
      </c>
      <c r="C14" s="11" t="s">
        <v>35</v>
      </c>
      <c r="D14" s="11" t="s">
        <v>36</v>
      </c>
      <c r="E14" s="11">
        <v>2</v>
      </c>
      <c r="F14" s="12">
        <v>427.7</v>
      </c>
      <c r="G14" s="12">
        <v>154.30000000000001</v>
      </c>
      <c r="H14" s="11" t="s">
        <v>52</v>
      </c>
      <c r="I14" s="13">
        <v>101.7</v>
      </c>
      <c r="J14" s="14">
        <v>4.21</v>
      </c>
      <c r="K14" s="11" t="s">
        <v>54</v>
      </c>
    </row>
    <row r="15" spans="1:11">
      <c r="A15" s="11" t="s">
        <v>8</v>
      </c>
      <c r="B15" s="11" t="s">
        <v>51</v>
      </c>
      <c r="C15" s="11" t="s">
        <v>38</v>
      </c>
      <c r="D15" s="11" t="s">
        <v>39</v>
      </c>
      <c r="E15" s="11">
        <v>3</v>
      </c>
      <c r="F15" s="12">
        <v>392.36099999999999</v>
      </c>
      <c r="G15" s="12">
        <v>115.271</v>
      </c>
      <c r="H15" s="11" t="s">
        <v>52</v>
      </c>
      <c r="I15" s="13">
        <v>108.1</v>
      </c>
      <c r="J15" s="14">
        <v>3.63</v>
      </c>
      <c r="K15" s="11" t="s">
        <v>55</v>
      </c>
    </row>
    <row r="16" spans="1:11">
      <c r="A16" s="11" t="s">
        <v>8</v>
      </c>
      <c r="B16" s="11" t="s">
        <v>51</v>
      </c>
      <c r="C16" s="11" t="s">
        <v>41</v>
      </c>
      <c r="D16" s="11" t="s">
        <v>42</v>
      </c>
      <c r="E16" s="11">
        <v>4</v>
      </c>
      <c r="F16" s="12">
        <v>499.62700000000001</v>
      </c>
      <c r="G16" s="12">
        <v>166.749</v>
      </c>
      <c r="H16" s="11" t="s">
        <v>52</v>
      </c>
      <c r="I16" s="13">
        <v>110.4</v>
      </c>
      <c r="J16" s="14">
        <v>4.53</v>
      </c>
      <c r="K16" s="11" t="s">
        <v>56</v>
      </c>
    </row>
    <row r="17" spans="1:11">
      <c r="A17" s="11" t="s">
        <v>8</v>
      </c>
      <c r="B17" s="11" t="s">
        <v>51</v>
      </c>
      <c r="C17" s="11" t="s">
        <v>44</v>
      </c>
      <c r="D17" s="11" t="s">
        <v>45</v>
      </c>
      <c r="E17" s="11">
        <v>5</v>
      </c>
      <c r="F17" s="12">
        <v>584.91099999999994</v>
      </c>
      <c r="G17" s="12">
        <v>236.00700000000001</v>
      </c>
      <c r="H17" s="11" t="s">
        <v>52</v>
      </c>
      <c r="I17" s="13">
        <v>116</v>
      </c>
      <c r="J17" s="14">
        <v>5.04</v>
      </c>
      <c r="K17" s="11" t="s">
        <v>53</v>
      </c>
    </row>
    <row r="18" spans="1:11">
      <c r="A18" s="11" t="s">
        <v>8</v>
      </c>
      <c r="B18" s="11" t="s">
        <v>51</v>
      </c>
      <c r="C18" s="11" t="s">
        <v>4</v>
      </c>
      <c r="D18" s="11" t="s">
        <v>46</v>
      </c>
      <c r="E18" s="11">
        <v>6</v>
      </c>
      <c r="F18" s="12">
        <v>725.6</v>
      </c>
      <c r="G18" s="12">
        <v>327</v>
      </c>
      <c r="H18" s="11" t="s">
        <v>52</v>
      </c>
      <c r="I18" s="13">
        <v>121.4</v>
      </c>
      <c r="J18" s="14">
        <v>5.98</v>
      </c>
      <c r="K18" s="11" t="s">
        <v>54</v>
      </c>
    </row>
    <row r="19" spans="1:11">
      <c r="A19" s="11" t="s">
        <v>8</v>
      </c>
      <c r="B19" s="11" t="s">
        <v>51</v>
      </c>
      <c r="C19" s="11" t="s">
        <v>47</v>
      </c>
      <c r="D19" s="11" t="s">
        <v>48</v>
      </c>
      <c r="E19" s="11">
        <v>7</v>
      </c>
      <c r="F19" s="12">
        <v>663.41099999999994</v>
      </c>
      <c r="G19" s="12">
        <v>265.97000000000003</v>
      </c>
      <c r="H19" s="11" t="s">
        <v>52</v>
      </c>
      <c r="I19" s="13">
        <v>126.8</v>
      </c>
      <c r="J19" s="14">
        <v>5.23</v>
      </c>
      <c r="K19" s="11" t="s">
        <v>55</v>
      </c>
    </row>
    <row r="20" spans="1:11">
      <c r="A20" s="11" t="s">
        <v>8</v>
      </c>
      <c r="B20" s="11" t="s">
        <v>51</v>
      </c>
      <c r="C20" s="11" t="s">
        <v>49</v>
      </c>
      <c r="D20" s="11" t="s">
        <v>50</v>
      </c>
      <c r="E20" s="11">
        <v>8</v>
      </c>
      <c r="F20" s="12">
        <v>804.90499999999997</v>
      </c>
      <c r="G20" s="12">
        <v>342.81</v>
      </c>
      <c r="H20" s="11" t="s">
        <v>52</v>
      </c>
      <c r="I20" s="13">
        <v>130.30000000000001</v>
      </c>
      <c r="J20" s="14">
        <v>6.18</v>
      </c>
      <c r="K20" s="11" t="s">
        <v>56</v>
      </c>
    </row>
    <row r="21" spans="1:11">
      <c r="A21" s="11" t="s">
        <v>9</v>
      </c>
      <c r="B21" s="11" t="s">
        <v>57</v>
      </c>
      <c r="C21" s="11" t="s">
        <v>31</v>
      </c>
      <c r="D21" s="11" t="s">
        <v>32</v>
      </c>
      <c r="E21" s="11">
        <v>1</v>
      </c>
      <c r="F21" s="12">
        <v>898.37300000000005</v>
      </c>
      <c r="G21" s="12">
        <v>246.99</v>
      </c>
      <c r="H21" s="11" t="s">
        <v>58</v>
      </c>
      <c r="I21" s="13">
        <v>537</v>
      </c>
      <c r="J21" s="14">
        <v>1.7</v>
      </c>
      <c r="K21" s="11" t="s">
        <v>59</v>
      </c>
    </row>
    <row r="22" spans="1:11">
      <c r="A22" s="11" t="s">
        <v>9</v>
      </c>
      <c r="B22" s="11" t="s">
        <v>57</v>
      </c>
      <c r="C22" s="11" t="s">
        <v>35</v>
      </c>
      <c r="D22" s="11" t="s">
        <v>36</v>
      </c>
      <c r="E22" s="11">
        <v>2</v>
      </c>
      <c r="F22" s="12">
        <v>1154.1300000000001</v>
      </c>
      <c r="G22" s="12">
        <v>470.94299999999998</v>
      </c>
      <c r="H22" s="11" t="s">
        <v>58</v>
      </c>
      <c r="I22" s="13">
        <v>553</v>
      </c>
      <c r="J22" s="14">
        <v>2.12</v>
      </c>
      <c r="K22" s="11" t="s">
        <v>60</v>
      </c>
    </row>
    <row r="23" spans="1:11">
      <c r="A23" s="11" t="s">
        <v>9</v>
      </c>
      <c r="B23" s="11" t="s">
        <v>57</v>
      </c>
      <c r="C23" s="11" t="s">
        <v>38</v>
      </c>
      <c r="D23" s="11" t="s">
        <v>39</v>
      </c>
      <c r="E23" s="11">
        <v>3</v>
      </c>
      <c r="F23" s="12">
        <v>854.98800000000006</v>
      </c>
      <c r="G23" s="12">
        <v>171.649</v>
      </c>
      <c r="H23" s="11" t="s">
        <v>58</v>
      </c>
      <c r="I23" s="13">
        <v>570</v>
      </c>
      <c r="J23" s="14">
        <v>1.52</v>
      </c>
      <c r="K23" s="11" t="s">
        <v>61</v>
      </c>
    </row>
    <row r="24" spans="1:11">
      <c r="A24" s="11" t="s">
        <v>9</v>
      </c>
      <c r="B24" s="11" t="s">
        <v>57</v>
      </c>
      <c r="C24" s="11" t="s">
        <v>41</v>
      </c>
      <c r="D24" s="11" t="s">
        <v>42</v>
      </c>
      <c r="E24" s="11">
        <v>4</v>
      </c>
      <c r="F24" s="12">
        <v>998.22699999999998</v>
      </c>
      <c r="G24" s="12">
        <v>250.77600000000001</v>
      </c>
      <c r="H24" s="11" t="s">
        <v>58</v>
      </c>
      <c r="I24" s="13">
        <v>578</v>
      </c>
      <c r="J24" s="14">
        <v>1.74</v>
      </c>
      <c r="K24" s="11" t="s">
        <v>62</v>
      </c>
    </row>
    <row r="25" spans="1:11">
      <c r="A25" s="11" t="s">
        <v>9</v>
      </c>
      <c r="B25" s="11" t="s">
        <v>57</v>
      </c>
      <c r="C25" s="11" t="s">
        <v>44</v>
      </c>
      <c r="D25" s="11" t="s">
        <v>45</v>
      </c>
      <c r="E25" s="11">
        <v>5</v>
      </c>
      <c r="F25" s="12">
        <v>1049.2049999999999</v>
      </c>
      <c r="G25" s="12">
        <v>306.05099999999999</v>
      </c>
      <c r="H25" s="11" t="s">
        <v>58</v>
      </c>
      <c r="I25" s="13">
        <v>600</v>
      </c>
      <c r="J25" s="14">
        <v>1.78</v>
      </c>
      <c r="K25" s="11" t="s">
        <v>59</v>
      </c>
    </row>
    <row r="26" spans="1:11">
      <c r="A26" s="11" t="s">
        <v>9</v>
      </c>
      <c r="B26" s="11" t="s">
        <v>57</v>
      </c>
      <c r="C26" s="11" t="s">
        <v>4</v>
      </c>
      <c r="D26" s="11" t="s">
        <v>46</v>
      </c>
      <c r="E26" s="11">
        <v>6</v>
      </c>
      <c r="F26" s="12">
        <v>1319.347</v>
      </c>
      <c r="G26" s="12">
        <v>541.5</v>
      </c>
      <c r="H26" s="11" t="s">
        <v>58</v>
      </c>
      <c r="I26" s="13">
        <v>619</v>
      </c>
      <c r="J26" s="14">
        <v>2.16</v>
      </c>
      <c r="K26" s="11" t="s">
        <v>60</v>
      </c>
    </row>
    <row r="27" spans="1:11">
      <c r="A27" s="11" t="s">
        <v>9</v>
      </c>
      <c r="B27" s="11" t="s">
        <v>57</v>
      </c>
      <c r="C27" s="11" t="s">
        <v>47</v>
      </c>
      <c r="D27" s="11" t="s">
        <v>48</v>
      </c>
      <c r="E27" s="11">
        <v>7</v>
      </c>
      <c r="F27" s="12">
        <v>1007.514</v>
      </c>
      <c r="G27" s="12">
        <v>206.51</v>
      </c>
      <c r="H27" s="11" t="s">
        <v>58</v>
      </c>
      <c r="I27" s="13">
        <v>631</v>
      </c>
      <c r="J27" s="14">
        <v>1.61</v>
      </c>
      <c r="K27" s="11" t="s">
        <v>61</v>
      </c>
    </row>
    <row r="28" spans="1:11">
      <c r="A28" s="11" t="s">
        <v>9</v>
      </c>
      <c r="B28" s="11" t="s">
        <v>57</v>
      </c>
      <c r="C28" s="11" t="s">
        <v>49</v>
      </c>
      <c r="D28" s="11" t="s">
        <v>50</v>
      </c>
      <c r="E28" s="11">
        <v>8</v>
      </c>
      <c r="F28" s="12">
        <v>1179.654</v>
      </c>
      <c r="G28" s="12">
        <v>311.30700000000002</v>
      </c>
      <c r="H28" s="11" t="s">
        <v>58</v>
      </c>
      <c r="I28" s="13">
        <v>640</v>
      </c>
      <c r="J28" s="14">
        <v>1.86</v>
      </c>
      <c r="K28" s="11" t="s">
        <v>62</v>
      </c>
    </row>
    <row r="29" spans="1:11">
      <c r="A29" s="11" t="s">
        <v>10</v>
      </c>
      <c r="B29" s="11" t="s">
        <v>63</v>
      </c>
      <c r="C29" s="11" t="s">
        <v>31</v>
      </c>
      <c r="D29" s="11" t="s">
        <v>32</v>
      </c>
      <c r="E29" s="11">
        <v>1</v>
      </c>
      <c r="F29" s="12">
        <v>192.59399999999999</v>
      </c>
      <c r="G29" s="12">
        <v>47.508000000000003</v>
      </c>
      <c r="H29" s="11" t="s">
        <v>64</v>
      </c>
      <c r="I29" s="13">
        <v>37.200000000000003</v>
      </c>
      <c r="J29" s="14"/>
      <c r="K29" s="11" t="s">
        <v>65</v>
      </c>
    </row>
    <row r="30" spans="1:11">
      <c r="A30" s="11" t="s">
        <v>10</v>
      </c>
      <c r="B30" s="11" t="s">
        <v>63</v>
      </c>
      <c r="C30" s="11" t="s">
        <v>35</v>
      </c>
      <c r="D30" s="11" t="s">
        <v>36</v>
      </c>
      <c r="E30" s="11">
        <v>2</v>
      </c>
      <c r="F30" s="12">
        <v>209.55</v>
      </c>
      <c r="G30" s="12">
        <v>52.311999999999998</v>
      </c>
      <c r="H30" s="11" t="s">
        <v>64</v>
      </c>
      <c r="I30" s="13">
        <v>40.5</v>
      </c>
      <c r="J30" s="14"/>
      <c r="K30" s="11" t="s">
        <v>66</v>
      </c>
    </row>
    <row r="31" spans="1:11">
      <c r="A31" s="11" t="s">
        <v>10</v>
      </c>
      <c r="B31" s="11" t="s">
        <v>63</v>
      </c>
      <c r="C31" s="11" t="s">
        <v>38</v>
      </c>
      <c r="D31" s="11" t="s">
        <v>39</v>
      </c>
      <c r="E31" s="11">
        <v>3</v>
      </c>
      <c r="F31" s="12">
        <v>230.74299999999999</v>
      </c>
      <c r="G31" s="12">
        <v>62.804000000000002</v>
      </c>
      <c r="H31" s="11" t="s">
        <v>64</v>
      </c>
      <c r="I31" s="13">
        <v>46.6</v>
      </c>
      <c r="J31" s="14"/>
      <c r="K31" s="11" t="s">
        <v>67</v>
      </c>
    </row>
    <row r="32" spans="1:11">
      <c r="A32" s="11" t="s">
        <v>10</v>
      </c>
      <c r="B32" s="11" t="s">
        <v>63</v>
      </c>
      <c r="C32" s="11" t="s">
        <v>41</v>
      </c>
      <c r="D32" s="11" t="s">
        <v>42</v>
      </c>
      <c r="E32" s="11">
        <v>4</v>
      </c>
      <c r="F32" s="12">
        <v>252.26499999999999</v>
      </c>
      <c r="G32" s="12">
        <v>78.680000000000007</v>
      </c>
      <c r="H32" s="11" t="s">
        <v>64</v>
      </c>
      <c r="I32" s="13">
        <v>47.7</v>
      </c>
      <c r="J32" s="14"/>
      <c r="K32" s="11" t="s">
        <v>68</v>
      </c>
    </row>
    <row r="33" spans="1:11">
      <c r="A33" s="11" t="s">
        <v>10</v>
      </c>
      <c r="B33" s="11" t="s">
        <v>63</v>
      </c>
      <c r="C33" s="11" t="s">
        <v>44</v>
      </c>
      <c r="D33" s="11" t="s">
        <v>45</v>
      </c>
      <c r="E33" s="11">
        <v>5</v>
      </c>
      <c r="F33" s="12">
        <v>271.71300000000002</v>
      </c>
      <c r="G33" s="12">
        <v>80.046000000000006</v>
      </c>
      <c r="H33" s="11" t="s">
        <v>64</v>
      </c>
      <c r="I33" s="13">
        <v>50.5</v>
      </c>
      <c r="J33" s="14"/>
      <c r="K33" s="11" t="s">
        <v>65</v>
      </c>
    </row>
    <row r="34" spans="1:11">
      <c r="A34" s="11" t="s">
        <v>10</v>
      </c>
      <c r="B34" s="11" t="s">
        <v>63</v>
      </c>
      <c r="C34" s="11" t="s">
        <v>4</v>
      </c>
      <c r="D34" s="11" t="s">
        <v>46</v>
      </c>
      <c r="E34" s="11">
        <v>6</v>
      </c>
      <c r="F34" s="12">
        <v>282.86799999999999</v>
      </c>
      <c r="G34" s="12">
        <v>84.347999999999999</v>
      </c>
      <c r="H34" s="11" t="s">
        <v>64</v>
      </c>
      <c r="I34" s="13">
        <v>52.7</v>
      </c>
      <c r="J34" s="14"/>
      <c r="K34" s="11" t="s">
        <v>66</v>
      </c>
    </row>
    <row r="35" spans="1:11">
      <c r="A35" s="11" t="s">
        <v>10</v>
      </c>
      <c r="B35" s="11" t="s">
        <v>63</v>
      </c>
      <c r="C35" s="11" t="s">
        <v>47</v>
      </c>
      <c r="D35" s="11" t="s">
        <v>48</v>
      </c>
      <c r="E35" s="11">
        <v>7</v>
      </c>
      <c r="F35" s="12">
        <v>291.96699999999998</v>
      </c>
      <c r="G35" s="12">
        <v>83.432000000000002</v>
      </c>
      <c r="H35" s="11" t="s">
        <v>64</v>
      </c>
      <c r="I35" s="13">
        <v>56.5</v>
      </c>
      <c r="J35" s="14"/>
      <c r="K35" s="11" t="s">
        <v>67</v>
      </c>
    </row>
    <row r="36" spans="1:11">
      <c r="A36" s="11" t="s">
        <v>10</v>
      </c>
      <c r="B36" s="11" t="s">
        <v>63</v>
      </c>
      <c r="C36" s="11" t="s">
        <v>49</v>
      </c>
      <c r="D36" s="11" t="s">
        <v>50</v>
      </c>
      <c r="E36" s="11">
        <v>8</v>
      </c>
      <c r="F36" s="12">
        <v>298.45400000000001</v>
      </c>
      <c r="G36" s="12">
        <v>77.314999999999998</v>
      </c>
      <c r="H36" s="11" t="s">
        <v>64</v>
      </c>
      <c r="I36" s="13">
        <v>58.7</v>
      </c>
      <c r="J36" s="14"/>
      <c r="K36" s="11" t="s">
        <v>68</v>
      </c>
    </row>
    <row r="38" spans="1:11">
      <c r="A38" s="4" t="s">
        <v>69</v>
      </c>
    </row>
    <row r="39" spans="1:11">
      <c r="A39" s="2" t="s">
        <v>70</v>
      </c>
    </row>
    <row r="40" spans="1:11">
      <c r="A40" s="2" t="s">
        <v>71</v>
      </c>
    </row>
    <row r="41" spans="1:11">
      <c r="A41" s="2" t="s">
        <v>72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0"/>
  <sheetViews>
    <sheetView showGridLines="0" tabSelected="1" zoomScaleNormal="100" workbookViewId="0">
      <pane ySplit="3" topLeftCell="A39" activePane="bottomLeft" state="frozen"/>
      <selection pane="bottomLeft" activeCell="E59" sqref="E59"/>
    </sheetView>
  </sheetViews>
  <sheetFormatPr defaultColWidth="8.7109375" defaultRowHeight="15"/>
  <cols>
    <col min="1" max="1" width="16" customWidth="1"/>
    <col min="2" max="5" width="13" customWidth="1"/>
    <col min="6" max="6" width="3" customWidth="1"/>
    <col min="7" max="7" width="16" customWidth="1"/>
    <col min="8" max="11" width="13" customWidth="1"/>
  </cols>
  <sheetData>
    <row r="1" spans="1:11" ht="19.7">
      <c r="A1" s="1" t="s">
        <v>73</v>
      </c>
    </row>
    <row r="2" spans="1:11">
      <c r="A2" s="2" t="s">
        <v>74</v>
      </c>
    </row>
    <row r="4" spans="1:11">
      <c r="A4" s="3" t="s">
        <v>75</v>
      </c>
      <c r="G4" s="3" t="s">
        <v>25</v>
      </c>
    </row>
    <row r="6" spans="1:11">
      <c r="A6" s="6" t="s">
        <v>22</v>
      </c>
      <c r="B6" s="7" t="s">
        <v>7</v>
      </c>
      <c r="C6" s="7" t="s">
        <v>8</v>
      </c>
      <c r="D6" s="7" t="s">
        <v>9</v>
      </c>
      <c r="E6" s="7" t="s">
        <v>10</v>
      </c>
      <c r="G6" s="6" t="s">
        <v>22</v>
      </c>
      <c r="H6" s="7" t="s">
        <v>7</v>
      </c>
      <c r="I6" s="7" t="s">
        <v>8</v>
      </c>
      <c r="J6" s="7" t="s">
        <v>9</v>
      </c>
      <c r="K6" s="7" t="s">
        <v>10</v>
      </c>
    </row>
    <row r="7" spans="1:11">
      <c r="A7" s="8" t="s">
        <v>31</v>
      </c>
      <c r="B7" s="15">
        <f>SUMIFS('Raw Data'!$F$5:$F$36,'Raw Data'!$B$5:$B$36,"APP",'Raw Data'!$C$5:$C$36,$A7)</f>
        <v>835.18600000000004</v>
      </c>
      <c r="C7" s="15">
        <f>SUMIFS('Raw Data'!$F$5:$F$36,'Raw Data'!$B$5:$B$36,"RDDT",'Raw Data'!$C$5:$C$36,$A7)</f>
        <v>348.351</v>
      </c>
      <c r="D7" s="15">
        <f>SUMIFS('Raw Data'!$F$5:$F$36,'Raw Data'!$B$5:$B$36,"PINS",'Raw Data'!$C$5:$C$36,$A7)</f>
        <v>898.37300000000005</v>
      </c>
      <c r="E7" s="15">
        <f>SUMIFS('Raw Data'!$F$5:$F$36,'Raw Data'!$B$5:$B$36,"DUOL",'Raw Data'!$C$5:$C$36,$A7)</f>
        <v>192.59399999999999</v>
      </c>
      <c r="G7" s="8" t="s">
        <v>31</v>
      </c>
      <c r="H7" s="15">
        <f>SUMIFS('Raw Data'!$G$5:$G$36,'Raw Data'!$B$5:$B$36,"APP",'Raw Data'!$C$5:$C$36,$G7)</f>
        <v>647.01700000000005</v>
      </c>
      <c r="I7" s="15">
        <f>SUMIFS('Raw Data'!$G$5:$G$36,'Raw Data'!$B$5:$B$36,"RDDT",'Raw Data'!$C$5:$C$36,$G7)</f>
        <v>94.149000000000001</v>
      </c>
      <c r="J7" s="15">
        <f>SUMIFS('Raw Data'!$G$5:$G$36,'Raw Data'!$B$5:$B$36,"PINS",'Raw Data'!$C$5:$C$36,$G7)</f>
        <v>246.99</v>
      </c>
      <c r="K7" s="15">
        <f>SUMIFS('Raw Data'!$G$5:$G$36,'Raw Data'!$B$5:$B$36,"DUOL",'Raw Data'!$C$5:$C$36,$G7)</f>
        <v>47.508000000000003</v>
      </c>
    </row>
    <row r="8" spans="1:11">
      <c r="A8" s="8" t="s">
        <v>35</v>
      </c>
      <c r="B8" s="15">
        <f>SUMIFS('Raw Data'!$F$5:$F$36,'Raw Data'!$B$5:$B$36,"APP",'Raw Data'!$C$5:$C$36,$A8)</f>
        <v>999.48699999999997</v>
      </c>
      <c r="C8" s="15">
        <f>SUMIFS('Raw Data'!$F$5:$F$36,'Raw Data'!$B$5:$B$36,"RDDT",'Raw Data'!$C$5:$C$36,$A8)</f>
        <v>427.7</v>
      </c>
      <c r="D8" s="15">
        <f>SUMIFS('Raw Data'!$F$5:$F$36,'Raw Data'!$B$5:$B$36,"PINS",'Raw Data'!$C$5:$C$36,$A8)</f>
        <v>1154.1300000000001</v>
      </c>
      <c r="E8" s="15">
        <f>SUMIFS('Raw Data'!$F$5:$F$36,'Raw Data'!$B$5:$B$36,"DUOL",'Raw Data'!$C$5:$C$36,$A8)</f>
        <v>209.55</v>
      </c>
      <c r="G8" s="8" t="s">
        <v>35</v>
      </c>
      <c r="H8" s="15">
        <f>SUMIFS('Raw Data'!$G$5:$G$36,'Raw Data'!$B$5:$B$36,"APP",'Raw Data'!$C$5:$C$36,$G8)</f>
        <v>769.83199999999999</v>
      </c>
      <c r="I8" s="15">
        <f>SUMIFS('Raw Data'!$G$5:$G$36,'Raw Data'!$B$5:$B$36,"RDDT",'Raw Data'!$C$5:$C$36,$G8)</f>
        <v>154.30000000000001</v>
      </c>
      <c r="J8" s="15">
        <f>SUMIFS('Raw Data'!$G$5:$G$36,'Raw Data'!$B$5:$B$36,"PINS",'Raw Data'!$C$5:$C$36,$G8)</f>
        <v>470.94299999999998</v>
      </c>
      <c r="K8" s="15">
        <f>SUMIFS('Raw Data'!$G$5:$G$36,'Raw Data'!$B$5:$B$36,"DUOL",'Raw Data'!$C$5:$C$36,$G8)</f>
        <v>52.311999999999998</v>
      </c>
    </row>
    <row r="9" spans="1:11">
      <c r="A9" s="8" t="s">
        <v>38</v>
      </c>
      <c r="B9" s="15">
        <f>SUMIFS('Raw Data'!$F$5:$F$36,'Raw Data'!$B$5:$B$36,"APP",'Raw Data'!$C$5:$C$36,$A9)</f>
        <v>1158.9739999999999</v>
      </c>
      <c r="C9" s="15">
        <f>SUMIFS('Raw Data'!$F$5:$F$36,'Raw Data'!$B$5:$B$36,"RDDT",'Raw Data'!$C$5:$C$36,$A9)</f>
        <v>392.36099999999999</v>
      </c>
      <c r="D9" s="15">
        <f>SUMIFS('Raw Data'!$F$5:$F$36,'Raw Data'!$B$5:$B$36,"PINS",'Raw Data'!$C$5:$C$36,$A9)</f>
        <v>854.98800000000006</v>
      </c>
      <c r="E9" s="15">
        <f>SUMIFS('Raw Data'!$F$5:$F$36,'Raw Data'!$B$5:$B$36,"DUOL",'Raw Data'!$C$5:$C$36,$A9)</f>
        <v>230.74299999999999</v>
      </c>
      <c r="G9" s="8" t="s">
        <v>38</v>
      </c>
      <c r="H9" s="15">
        <f>SUMIFS('Raw Data'!$G$5:$G$36,'Raw Data'!$B$5:$B$36,"APP",'Raw Data'!$C$5:$C$36,$G9)</f>
        <v>937.77200000000005</v>
      </c>
      <c r="I9" s="15">
        <f>SUMIFS('Raw Data'!$G$5:$G$36,'Raw Data'!$B$5:$B$36,"RDDT",'Raw Data'!$C$5:$C$36,$G9)</f>
        <v>115.271</v>
      </c>
      <c r="J9" s="15">
        <f>SUMIFS('Raw Data'!$G$5:$G$36,'Raw Data'!$B$5:$B$36,"PINS",'Raw Data'!$C$5:$C$36,$G9)</f>
        <v>171.649</v>
      </c>
      <c r="K9" s="15">
        <f>SUMIFS('Raw Data'!$G$5:$G$36,'Raw Data'!$B$5:$B$36,"DUOL",'Raw Data'!$C$5:$C$36,$G9)</f>
        <v>62.804000000000002</v>
      </c>
    </row>
    <row r="10" spans="1:11">
      <c r="A10" s="8" t="s">
        <v>41</v>
      </c>
      <c r="B10" s="15">
        <f>SUMIFS('Raw Data'!$F$5:$F$36,'Raw Data'!$B$5:$B$36,"APP",'Raw Data'!$C$5:$C$36,$A10)</f>
        <v>1258.7539999999999</v>
      </c>
      <c r="C10" s="15">
        <f>SUMIFS('Raw Data'!$F$5:$F$36,'Raw Data'!$B$5:$B$36,"RDDT",'Raw Data'!$C$5:$C$36,$A10)</f>
        <v>499.62700000000001</v>
      </c>
      <c r="D10" s="15">
        <f>SUMIFS('Raw Data'!$F$5:$F$36,'Raw Data'!$B$5:$B$36,"PINS",'Raw Data'!$C$5:$C$36,$A10)</f>
        <v>998.22699999999998</v>
      </c>
      <c r="E10" s="15">
        <f>SUMIFS('Raw Data'!$F$5:$F$36,'Raw Data'!$B$5:$B$36,"DUOL",'Raw Data'!$C$5:$C$36,$A10)</f>
        <v>252.26499999999999</v>
      </c>
      <c r="G10" s="8" t="s">
        <v>41</v>
      </c>
      <c r="H10" s="15">
        <f>SUMIFS('Raw Data'!$G$5:$G$36,'Raw Data'!$B$5:$B$36,"APP",'Raw Data'!$C$5:$C$36,$G10)</f>
        <v>1018.347</v>
      </c>
      <c r="I10" s="15">
        <f>SUMIFS('Raw Data'!$G$5:$G$36,'Raw Data'!$B$5:$B$36,"RDDT",'Raw Data'!$C$5:$C$36,$G10)</f>
        <v>166.749</v>
      </c>
      <c r="J10" s="15">
        <f>SUMIFS('Raw Data'!$G$5:$G$36,'Raw Data'!$B$5:$B$36,"PINS",'Raw Data'!$C$5:$C$36,$G10)</f>
        <v>250.77600000000001</v>
      </c>
      <c r="K10" s="15">
        <f>SUMIFS('Raw Data'!$G$5:$G$36,'Raw Data'!$B$5:$B$36,"DUOL",'Raw Data'!$C$5:$C$36,$G10)</f>
        <v>78.680000000000007</v>
      </c>
    </row>
    <row r="11" spans="1:11">
      <c r="A11" s="8" t="s">
        <v>44</v>
      </c>
      <c r="B11" s="15">
        <f>SUMIFS('Raw Data'!$F$5:$F$36,'Raw Data'!$B$5:$B$36,"APP",'Raw Data'!$C$5:$C$36,$A11)</f>
        <v>1405.0450000000001</v>
      </c>
      <c r="C11" s="15">
        <f>SUMIFS('Raw Data'!$F$5:$F$36,'Raw Data'!$B$5:$B$36,"RDDT",'Raw Data'!$C$5:$C$36,$A11)</f>
        <v>584.91099999999994</v>
      </c>
      <c r="D11" s="15">
        <f>SUMIFS('Raw Data'!$F$5:$F$36,'Raw Data'!$B$5:$B$36,"PINS",'Raw Data'!$C$5:$C$36,$A11)</f>
        <v>1049.2049999999999</v>
      </c>
      <c r="E11" s="15">
        <f>SUMIFS('Raw Data'!$F$5:$F$36,'Raw Data'!$B$5:$B$36,"DUOL",'Raw Data'!$C$5:$C$36,$A11)</f>
        <v>271.71300000000002</v>
      </c>
      <c r="G11" s="8" t="s">
        <v>44</v>
      </c>
      <c r="H11" s="15">
        <f>SUMIFS('Raw Data'!$G$5:$G$36,'Raw Data'!$B$5:$B$36,"APP",'Raw Data'!$C$5:$C$36,$G11)</f>
        <v>1157.654</v>
      </c>
      <c r="I11" s="15">
        <f>SUMIFS('Raw Data'!$G$5:$G$36,'Raw Data'!$B$5:$B$36,"RDDT",'Raw Data'!$C$5:$C$36,$G11)</f>
        <v>236.00700000000001</v>
      </c>
      <c r="J11" s="15">
        <f>SUMIFS('Raw Data'!$G$5:$G$36,'Raw Data'!$B$5:$B$36,"PINS",'Raw Data'!$C$5:$C$36,$G11)</f>
        <v>306.05099999999999</v>
      </c>
      <c r="K11" s="15">
        <f>SUMIFS('Raw Data'!$G$5:$G$36,'Raw Data'!$B$5:$B$36,"DUOL",'Raw Data'!$C$5:$C$36,$G11)</f>
        <v>80.046000000000006</v>
      </c>
    </row>
    <row r="12" spans="1:11">
      <c r="A12" s="8" t="s">
        <v>4</v>
      </c>
      <c r="B12" s="15">
        <f>SUMIFS('Raw Data'!$F$5:$F$36,'Raw Data'!$B$5:$B$36,"APP",'Raw Data'!$C$5:$C$36,$A12)</f>
        <v>1657.944</v>
      </c>
      <c r="C12" s="15">
        <f>SUMIFS('Raw Data'!$F$5:$F$36,'Raw Data'!$B$5:$B$36,"RDDT",'Raw Data'!$C$5:$C$36,$A12)</f>
        <v>725.6</v>
      </c>
      <c r="D12" s="15">
        <f>SUMIFS('Raw Data'!$F$5:$F$36,'Raw Data'!$B$5:$B$36,"PINS",'Raw Data'!$C$5:$C$36,$A12)</f>
        <v>1319.347</v>
      </c>
      <c r="E12" s="15">
        <f>SUMIFS('Raw Data'!$F$5:$F$36,'Raw Data'!$B$5:$B$36,"DUOL",'Raw Data'!$C$5:$C$36,$A12)</f>
        <v>282.86799999999999</v>
      </c>
      <c r="G12" s="8" t="s">
        <v>4</v>
      </c>
      <c r="H12" s="15">
        <f>SUMIFS('Raw Data'!$G$5:$G$36,'Raw Data'!$B$5:$B$36,"APP",'Raw Data'!$C$5:$C$36,$G12)</f>
        <v>1398.6790000000001</v>
      </c>
      <c r="I12" s="15">
        <f>SUMIFS('Raw Data'!$G$5:$G$36,'Raw Data'!$B$5:$B$36,"RDDT",'Raw Data'!$C$5:$C$36,$G12)</f>
        <v>327</v>
      </c>
      <c r="J12" s="15">
        <f>SUMIFS('Raw Data'!$G$5:$G$36,'Raw Data'!$B$5:$B$36,"PINS",'Raw Data'!$C$5:$C$36,$G12)</f>
        <v>541.5</v>
      </c>
      <c r="K12" s="15">
        <f>SUMIFS('Raw Data'!$G$5:$G$36,'Raw Data'!$B$5:$B$36,"DUOL",'Raw Data'!$C$5:$C$36,$G12)</f>
        <v>84.347999999999999</v>
      </c>
    </row>
    <row r="13" spans="1:11">
      <c r="A13" s="8" t="s">
        <v>47</v>
      </c>
      <c r="B13" s="15">
        <f>SUMIFS('Raw Data'!$F$5:$F$36,'Raw Data'!$B$5:$B$36,"APP",'Raw Data'!$C$5:$C$36,$A13)</f>
        <v>1842.4490000000001</v>
      </c>
      <c r="C13" s="15">
        <f>SUMIFS('Raw Data'!$F$5:$F$36,'Raw Data'!$B$5:$B$36,"RDDT",'Raw Data'!$C$5:$C$36,$A13)</f>
        <v>663.41099999999994</v>
      </c>
      <c r="D13" s="15">
        <f>SUMIFS('Raw Data'!$F$5:$F$36,'Raw Data'!$B$5:$B$36,"PINS",'Raw Data'!$C$5:$C$36,$A13)</f>
        <v>1007.514</v>
      </c>
      <c r="E13" s="15">
        <f>SUMIFS('Raw Data'!$F$5:$F$36,'Raw Data'!$B$5:$B$36,"DUOL",'Raw Data'!$C$5:$C$36,$A13)</f>
        <v>291.96699999999998</v>
      </c>
      <c r="G13" s="8" t="s">
        <v>47</v>
      </c>
      <c r="H13" s="15">
        <f>SUMIFS('Raw Data'!$G$5:$G$36,'Raw Data'!$B$5:$B$36,"APP",'Raw Data'!$C$5:$C$36,$G13)</f>
        <v>1556.9190000000001</v>
      </c>
      <c r="I13" s="15">
        <f>SUMIFS('Raw Data'!$G$5:$G$36,'Raw Data'!$B$5:$B$36,"RDDT",'Raw Data'!$C$5:$C$36,$G13)</f>
        <v>265.97000000000003</v>
      </c>
      <c r="J13" s="15">
        <f>SUMIFS('Raw Data'!$G$5:$G$36,'Raw Data'!$B$5:$B$36,"PINS",'Raw Data'!$C$5:$C$36,$G13)</f>
        <v>206.51</v>
      </c>
      <c r="K13" s="15">
        <f>SUMIFS('Raw Data'!$G$5:$G$36,'Raw Data'!$B$5:$B$36,"DUOL",'Raw Data'!$C$5:$C$36,$G13)</f>
        <v>83.432000000000002</v>
      </c>
    </row>
    <row r="14" spans="1:11">
      <c r="A14" s="8" t="s">
        <v>49</v>
      </c>
      <c r="B14" s="15">
        <f>SUMIFS('Raw Data'!$F$5:$F$36,'Raw Data'!$B$5:$B$36,"APP",'Raw Data'!$C$5:$C$36,$A14)</f>
        <v>1923.6859999999999</v>
      </c>
      <c r="C14" s="15">
        <f>SUMIFS('Raw Data'!$F$5:$F$36,'Raw Data'!$B$5:$B$36,"RDDT",'Raw Data'!$C$5:$C$36,$A14)</f>
        <v>804.90499999999997</v>
      </c>
      <c r="D14" s="15">
        <f>SUMIFS('Raw Data'!$F$5:$F$36,'Raw Data'!$B$5:$B$36,"PINS",'Raw Data'!$C$5:$C$36,$A14)</f>
        <v>1179.654</v>
      </c>
      <c r="E14" s="15">
        <f>SUMIFS('Raw Data'!$F$5:$F$36,'Raw Data'!$B$5:$B$36,"DUOL",'Raw Data'!$C$5:$C$36,$A14)</f>
        <v>298.45400000000001</v>
      </c>
      <c r="G14" s="8" t="s">
        <v>49</v>
      </c>
      <c r="H14" s="15">
        <f>SUMIFS('Raw Data'!$G$5:$G$36,'Raw Data'!$B$5:$B$36,"APP",'Raw Data'!$C$5:$C$36,$G14)</f>
        <v>1613.8230000000001</v>
      </c>
      <c r="I14" s="15">
        <f>SUMIFS('Raw Data'!$G$5:$G$36,'Raw Data'!$B$5:$B$36,"RDDT",'Raw Data'!$C$5:$C$36,$G14)</f>
        <v>342.81</v>
      </c>
      <c r="J14" s="15">
        <f>SUMIFS('Raw Data'!$G$5:$G$36,'Raw Data'!$B$5:$B$36,"PINS",'Raw Data'!$C$5:$C$36,$G14)</f>
        <v>311.30700000000002</v>
      </c>
      <c r="K14" s="15">
        <f>SUMIFS('Raw Data'!$G$5:$G$36,'Raw Data'!$B$5:$B$36,"DUOL",'Raw Data'!$C$5:$C$36,$G14)</f>
        <v>77.314999999999998</v>
      </c>
    </row>
    <row r="16" spans="1:11">
      <c r="A16" s="3" t="s">
        <v>76</v>
      </c>
      <c r="G16" s="3" t="s">
        <v>77</v>
      </c>
    </row>
    <row r="17" spans="1:11">
      <c r="A17" s="2" t="s">
        <v>78</v>
      </c>
      <c r="G17" s="2" t="s">
        <v>79</v>
      </c>
    </row>
    <row r="18" spans="1:11">
      <c r="A18" s="6" t="s">
        <v>22</v>
      </c>
      <c r="B18" s="7" t="s">
        <v>7</v>
      </c>
      <c r="C18" s="7" t="s">
        <v>8</v>
      </c>
      <c r="D18" s="7" t="s">
        <v>9</v>
      </c>
      <c r="E18" s="7" t="s">
        <v>10</v>
      </c>
      <c r="G18" s="6" t="s">
        <v>22</v>
      </c>
      <c r="H18" s="7" t="s">
        <v>7</v>
      </c>
      <c r="I18" s="7" t="s">
        <v>8</v>
      </c>
      <c r="J18" s="7" t="s">
        <v>9</v>
      </c>
      <c r="K18" s="7" t="s">
        <v>10</v>
      </c>
    </row>
    <row r="19" spans="1:11">
      <c r="A19" s="8" t="s">
        <v>35</v>
      </c>
      <c r="B19" s="16" t="str">
        <f>IFERROR(B7/B6-1,"")</f>
        <v/>
      </c>
      <c r="C19" s="16" t="str">
        <f>IFERROR(C7/C6-1,"")</f>
        <v/>
      </c>
      <c r="D19" s="16" t="str">
        <f>IFERROR(D7/D6-1,"")</f>
        <v/>
      </c>
      <c r="E19" s="16" t="str">
        <f>IFERROR(E7/E6-1,"")</f>
        <v/>
      </c>
      <c r="G19" s="8" t="s">
        <v>44</v>
      </c>
      <c r="H19" s="16">
        <f>IFERROR(B11/B7-1,"")</f>
        <v>0.68231387978246771</v>
      </c>
      <c r="I19" s="16">
        <f>IFERROR(C11/C7-1,"")</f>
        <v>0.67908517558439607</v>
      </c>
      <c r="J19" s="16">
        <f>IFERROR(D11/D7-1,"")</f>
        <v>0.16789462728732918</v>
      </c>
      <c r="K19" s="16">
        <f>IFERROR(E11/E7-1,"")</f>
        <v>0.41080719025514822</v>
      </c>
    </row>
    <row r="20" spans="1:11">
      <c r="A20" s="8" t="s">
        <v>38</v>
      </c>
      <c r="B20" s="16">
        <f>IFERROR(B8/B7-1,"")</f>
        <v>0.19672384355101724</v>
      </c>
      <c r="C20" s="16">
        <f>IFERROR(C8/C7-1,"")</f>
        <v>0.22778461953604268</v>
      </c>
      <c r="D20" s="16">
        <f>IFERROR(D8/D7-1,"")</f>
        <v>0.28468909907132112</v>
      </c>
      <c r="E20" s="16">
        <f>IFERROR(E8/E7-1,"")</f>
        <v>8.8040125860618712E-2</v>
      </c>
      <c r="G20" s="8" t="s">
        <v>4</v>
      </c>
      <c r="H20" s="16">
        <f>IFERROR(B12/B8-1,"")</f>
        <v>0.65879496181541142</v>
      </c>
      <c r="I20" s="16">
        <f>IFERROR(C12/C8-1,"")</f>
        <v>0.69651624970773907</v>
      </c>
      <c r="J20" s="16">
        <f>IFERROR(D12/D8-1,"")</f>
        <v>0.1431528510653044</v>
      </c>
      <c r="K20" s="16">
        <f>IFERROR(E12/E8-1,"")</f>
        <v>0.34988308279646851</v>
      </c>
    </row>
    <row r="21" spans="1:11">
      <c r="A21" s="8" t="s">
        <v>41</v>
      </c>
      <c r="B21" s="16">
        <f>IFERROR(B9/B8-1,"")</f>
        <v>0.15956885882457694</v>
      </c>
      <c r="C21" s="16">
        <f>IFERROR(C9/C8-1,"")</f>
        <v>-8.2625672200140277E-2</v>
      </c>
      <c r="D21" s="16">
        <f>IFERROR(D9/D8-1,"")</f>
        <v>-0.25919263861090169</v>
      </c>
      <c r="E21" s="16">
        <f>IFERROR(E9/E8-1,"")</f>
        <v>0.10113576712001904</v>
      </c>
      <c r="G21" s="8" t="s">
        <v>47</v>
      </c>
      <c r="H21" s="16">
        <f>IFERROR(B13/B9-1,"")</f>
        <v>0.58972418708271301</v>
      </c>
      <c r="I21" s="16">
        <f>IFERROR(C13/C9-1,"")</f>
        <v>0.69081789474489042</v>
      </c>
      <c r="J21" s="16">
        <f>IFERROR(D13/D9-1,"")</f>
        <v>0.17839548625243862</v>
      </c>
      <c r="K21" s="16">
        <f>IFERROR(E13/E9-1,"")</f>
        <v>0.26533415964948004</v>
      </c>
    </row>
    <row r="22" spans="1:11">
      <c r="A22" s="8" t="s">
        <v>44</v>
      </c>
      <c r="B22" s="16">
        <f>IFERROR(B10/B9-1,"")</f>
        <v>8.6093389497952533E-2</v>
      </c>
      <c r="C22" s="16">
        <f>IFERROR(C10/C9-1,"")</f>
        <v>0.27338598892346599</v>
      </c>
      <c r="D22" s="16">
        <f>IFERROR(D10/D9-1,"")</f>
        <v>0.16753334549724674</v>
      </c>
      <c r="E22" s="16">
        <f>IFERROR(E10/E9-1,"")</f>
        <v>9.327260198575904E-2</v>
      </c>
      <c r="G22" s="8" t="s">
        <v>49</v>
      </c>
      <c r="H22" s="16">
        <f>IFERROR(B14/B10-1,"")</f>
        <v>0.52824618630804743</v>
      </c>
      <c r="I22" s="16">
        <f>IFERROR(C14/C10-1,"")</f>
        <v>0.61101181481385103</v>
      </c>
      <c r="J22" s="16">
        <f>IFERROR(D14/D10-1,"")</f>
        <v>0.18174924140501103</v>
      </c>
      <c r="K22" s="16">
        <f>IFERROR(E14/E10-1,"")</f>
        <v>0.18309713991239374</v>
      </c>
    </row>
    <row r="23" spans="1:11">
      <c r="A23" s="8" t="s">
        <v>4</v>
      </c>
      <c r="B23" s="16">
        <f>IFERROR(B11/B10-1,"")</f>
        <v>0.11621889582873246</v>
      </c>
      <c r="C23" s="16">
        <f>IFERROR(C11/C10-1,"")</f>
        <v>0.17069533872268705</v>
      </c>
      <c r="D23" s="16">
        <f>IFERROR(D11/D10-1,"")</f>
        <v>5.1068544529450755E-2</v>
      </c>
      <c r="E23" s="16">
        <f>IFERROR(E11/E10-1,"")</f>
        <v>7.7093532594692205E-2</v>
      </c>
    </row>
    <row r="24" spans="1:11">
      <c r="A24" s="8" t="s">
        <v>47</v>
      </c>
      <c r="B24" s="16">
        <f>IFERROR(B12/B11-1,"")</f>
        <v>0.17999352333911012</v>
      </c>
      <c r="C24" s="16">
        <f>IFERROR(C12/C11-1,"")</f>
        <v>0.24053061063990944</v>
      </c>
      <c r="D24" s="16">
        <f>IFERROR(D12/D11-1,"")</f>
        <v>0.25747303911056463</v>
      </c>
      <c r="E24" s="16">
        <f>IFERROR(E12/E11-1,"")</f>
        <v>4.1054347786082968E-2</v>
      </c>
    </row>
    <row r="25" spans="1:11">
      <c r="A25" s="8" t="s">
        <v>49</v>
      </c>
      <c r="B25" s="16">
        <f>IFERROR(B13/B12-1,"")</f>
        <v>0.11128542339186365</v>
      </c>
      <c r="C25" s="16">
        <f>IFERROR(C13/C12-1,"")</f>
        <v>-8.5707001102535929E-2</v>
      </c>
      <c r="D25" s="16">
        <f>IFERROR(D13/D12-1,"")</f>
        <v>-0.23635404484188005</v>
      </c>
      <c r="E25" s="16">
        <f>IFERROR(E13/E12-1,"")</f>
        <v>3.2166947127281853E-2</v>
      </c>
    </row>
    <row r="27" spans="1:11">
      <c r="A27" s="3" t="s">
        <v>14</v>
      </c>
      <c r="G27" s="3" t="s">
        <v>80</v>
      </c>
    </row>
    <row r="28" spans="1:11">
      <c r="A28" s="2" t="s">
        <v>81</v>
      </c>
      <c r="G28" s="2" t="s">
        <v>82</v>
      </c>
    </row>
    <row r="29" spans="1:11">
      <c r="A29" s="6" t="s">
        <v>22</v>
      </c>
      <c r="B29" s="7" t="s">
        <v>7</v>
      </c>
      <c r="C29" s="7" t="s">
        <v>8</v>
      </c>
      <c r="D29" s="7" t="s">
        <v>9</v>
      </c>
      <c r="E29" s="7" t="s">
        <v>10</v>
      </c>
      <c r="G29" s="6" t="s">
        <v>22</v>
      </c>
      <c r="H29" s="7" t="s">
        <v>7</v>
      </c>
      <c r="I29" s="7" t="s">
        <v>8</v>
      </c>
      <c r="J29" s="7" t="s">
        <v>9</v>
      </c>
      <c r="K29" s="7" t="s">
        <v>10</v>
      </c>
    </row>
    <row r="30" spans="1:11">
      <c r="A30" s="8" t="s">
        <v>31</v>
      </c>
      <c r="B30" s="16">
        <f>IFERROR(H7/B7,"")</f>
        <v>0.77469809120363609</v>
      </c>
      <c r="C30" s="16">
        <f>IFERROR(I7/C7,"")</f>
        <v>0.27027050302711919</v>
      </c>
      <c r="D30" s="16">
        <f>IFERROR(J7/D7,"")</f>
        <v>0.27493034630381813</v>
      </c>
      <c r="E30" s="16">
        <f>IFERROR(K7/E7,"")</f>
        <v>0.2466743512258949</v>
      </c>
      <c r="G30" s="8" t="s">
        <v>31</v>
      </c>
      <c r="H30" s="17">
        <f>IFERROR(B7/B$7*100,"")</f>
        <v>100</v>
      </c>
      <c r="I30" s="17">
        <f>IFERROR(C7/C$7*100,"")</f>
        <v>100</v>
      </c>
      <c r="J30" s="17">
        <f>IFERROR(D7/D$7*100,"")</f>
        <v>100</v>
      </c>
      <c r="K30" s="17">
        <f>IFERROR(E7/E$7*100,"")</f>
        <v>100</v>
      </c>
    </row>
    <row r="31" spans="1:11">
      <c r="A31" s="8" t="s">
        <v>35</v>
      </c>
      <c r="B31" s="16">
        <f>IFERROR(H8/B8,"")</f>
        <v>0.77022712651590264</v>
      </c>
      <c r="C31" s="16">
        <f>IFERROR(I8/C8,"")</f>
        <v>0.36076689268178636</v>
      </c>
      <c r="D31" s="16">
        <f>IFERROR(J8/D8,"")</f>
        <v>0.40805021964596705</v>
      </c>
      <c r="E31" s="16">
        <f>IFERROR(K8/E8,"")</f>
        <v>0.24963970412789308</v>
      </c>
      <c r="G31" s="8" t="s">
        <v>35</v>
      </c>
      <c r="H31" s="17">
        <f>IFERROR(B8/B$7*100,"")</f>
        <v>119.67238435510173</v>
      </c>
      <c r="I31" s="17">
        <f>IFERROR(C8/C$7*100,"")</f>
        <v>122.77846195360426</v>
      </c>
      <c r="J31" s="17">
        <f>IFERROR(D8/D$7*100,"")</f>
        <v>128.46890990713212</v>
      </c>
      <c r="K31" s="17">
        <f>IFERROR(E8/E$7*100,"")</f>
        <v>108.80401258606187</v>
      </c>
    </row>
    <row r="32" spans="1:11">
      <c r="A32" s="8" t="s">
        <v>38</v>
      </c>
      <c r="B32" s="16">
        <f>IFERROR(H9/B9,"")</f>
        <v>0.80913980814064868</v>
      </c>
      <c r="C32" s="16">
        <f>IFERROR(I9/C9,"")</f>
        <v>0.29378811859486548</v>
      </c>
      <c r="D32" s="16">
        <f>IFERROR(J9/D9,"")</f>
        <v>0.20076188203811046</v>
      </c>
      <c r="E32" s="16">
        <f>IFERROR(K9/E9,"")</f>
        <v>0.27218160464239438</v>
      </c>
      <c r="G32" s="8" t="s">
        <v>38</v>
      </c>
      <c r="H32" s="17">
        <f>IFERROR(B9/B$7*100,"")</f>
        <v>138.76837015946145</v>
      </c>
      <c r="I32" s="17">
        <f>IFERROR(C9/C$7*100,"")</f>
        <v>112.63380900298836</v>
      </c>
      <c r="J32" s="17">
        <f>IFERROR(D9/D$7*100,"")</f>
        <v>95.170714168836341</v>
      </c>
      <c r="K32" s="17">
        <f>IFERROR(E9/E$7*100,"")</f>
        <v>119.80798986468946</v>
      </c>
    </row>
    <row r="33" spans="1:11">
      <c r="A33" s="8" t="s">
        <v>41</v>
      </c>
      <c r="B33" s="16">
        <f>IFERROR(H10/B10,"")</f>
        <v>0.80901192766815444</v>
      </c>
      <c r="C33" s="16">
        <f>IFERROR(I10/C10,"")</f>
        <v>0.33374697524353164</v>
      </c>
      <c r="D33" s="16">
        <f>IFERROR(J10/D10,"")</f>
        <v>0.25122141556980526</v>
      </c>
      <c r="E33" s="16">
        <f>IFERROR(K10/E10,"")</f>
        <v>0.31189423820189094</v>
      </c>
      <c r="G33" s="8" t="s">
        <v>41</v>
      </c>
      <c r="H33" s="17">
        <f>IFERROR(B10/B$7*100,"")</f>
        <v>150.71540950159604</v>
      </c>
      <c r="I33" s="17">
        <f>IFERROR(C10/C$7*100,"")</f>
        <v>143.42631426348711</v>
      </c>
      <c r="J33" s="17">
        <f>IFERROR(D10/D$7*100,"")</f>
        <v>111.11498230690368</v>
      </c>
      <c r="K33" s="17">
        <f>IFERROR(E10/E$7*100,"")</f>
        <v>130.98279281805247</v>
      </c>
    </row>
    <row r="34" spans="1:11">
      <c r="A34" s="8" t="s">
        <v>44</v>
      </c>
      <c r="B34" s="16">
        <f>IFERROR(H11/B11,"")</f>
        <v>0.82392663580170022</v>
      </c>
      <c r="C34" s="16">
        <f>IFERROR(I11/C11,"")</f>
        <v>0.40349215521677662</v>
      </c>
      <c r="D34" s="16">
        <f>IFERROR(J11/D11,"")</f>
        <v>0.2916979999142208</v>
      </c>
      <c r="E34" s="16">
        <f>IFERROR(K11/E11,"")</f>
        <v>0.29459760850603395</v>
      </c>
      <c r="G34" s="8" t="s">
        <v>44</v>
      </c>
      <c r="H34" s="17">
        <f>IFERROR(B11/B$7*100,"")</f>
        <v>168.23138797824677</v>
      </c>
      <c r="I34" s="17">
        <f>IFERROR(C11/C$7*100,"")</f>
        <v>167.9085175584396</v>
      </c>
      <c r="J34" s="17">
        <f>IFERROR(D11/D$7*100,"")</f>
        <v>116.78946272873291</v>
      </c>
      <c r="K34" s="17">
        <f>IFERROR(E11/E$7*100,"")</f>
        <v>141.08071902551481</v>
      </c>
    </row>
    <row r="35" spans="1:11">
      <c r="A35" s="8" t="s">
        <v>4</v>
      </c>
      <c r="B35" s="16">
        <f>IFERROR(H12/B12,"")</f>
        <v>0.84362258315118011</v>
      </c>
      <c r="C35" s="16">
        <f>IFERROR(I12/C12,"")</f>
        <v>0.45066152149944871</v>
      </c>
      <c r="D35" s="16">
        <f>IFERROR(J12/D12,"")</f>
        <v>0.41043031135857361</v>
      </c>
      <c r="E35" s="16">
        <f>IFERROR(K12/E12,"")</f>
        <v>0.29818855437872083</v>
      </c>
      <c r="G35" s="8" t="s">
        <v>4</v>
      </c>
      <c r="H35" s="17">
        <f>IFERROR(B12/B$7*100,"")</f>
        <v>198.51194823668018</v>
      </c>
      <c r="I35" s="17">
        <f>IFERROR(C12/C$7*100,"")</f>
        <v>208.29565581841302</v>
      </c>
      <c r="J35" s="17">
        <f>IFERROR(D12/D$7*100,"")</f>
        <v>146.85960063358982</v>
      </c>
      <c r="K35" s="17">
        <f>IFERROR(E12/E$7*100,"")</f>
        <v>146.87269593029896</v>
      </c>
    </row>
    <row r="36" spans="1:11">
      <c r="A36" s="8" t="s">
        <v>47</v>
      </c>
      <c r="B36" s="16">
        <f>IFERROR(H13/B13,"")</f>
        <v>0.8450269179771055</v>
      </c>
      <c r="C36" s="16">
        <f>IFERROR(I13/C13,"")</f>
        <v>0.40091285794175863</v>
      </c>
      <c r="D36" s="16">
        <f>IFERROR(J13/D13,"")</f>
        <v>0.20496985649827199</v>
      </c>
      <c r="E36" s="16">
        <f>IFERROR(K13/E13,"")</f>
        <v>0.28575832200214413</v>
      </c>
      <c r="G36" s="8" t="s">
        <v>47</v>
      </c>
      <c r="H36" s="17">
        <f>IFERROR(B13/B$7*100,"")</f>
        <v>220.6034344445429</v>
      </c>
      <c r="I36" s="17">
        <f>IFERROR(C13/C$7*100,"")</f>
        <v>190.44325981553087</v>
      </c>
      <c r="J36" s="17">
        <f>IFERROR(D13/D$7*100,"")</f>
        <v>112.14873999997775</v>
      </c>
      <c r="K36" s="17">
        <f>IFERROR(E13/E$7*100,"")</f>
        <v>151.59714217473027</v>
      </c>
    </row>
    <row r="37" spans="1:11">
      <c r="A37" s="8" t="s">
        <v>49</v>
      </c>
      <c r="B37" s="16">
        <f>IFERROR(H14/B14,"")</f>
        <v>0.83892225654290786</v>
      </c>
      <c r="C37" s="16">
        <f>IFERROR(I14/C14,"")</f>
        <v>0.4259011933085271</v>
      </c>
      <c r="D37" s="16">
        <f>IFERROR(J14/D14,"")</f>
        <v>0.26389687145552848</v>
      </c>
      <c r="E37" s="16">
        <f>IFERROR(K14/E14,"")</f>
        <v>0.2590516461498254</v>
      </c>
      <c r="G37" s="8" t="s">
        <v>49</v>
      </c>
      <c r="H37" s="17">
        <f>IFERROR(B14/B$7*100,"")</f>
        <v>230.33024978866982</v>
      </c>
      <c r="I37" s="17">
        <f>IFERROR(C14/C$7*100,"")</f>
        <v>231.06148683368212</v>
      </c>
      <c r="J37" s="17">
        <f>IFERROR(D14/D$7*100,"")</f>
        <v>131.31004604991466</v>
      </c>
      <c r="K37" s="17">
        <f>IFERROR(E14/E$7*100,"")</f>
        <v>154.96536756077552</v>
      </c>
    </row>
    <row r="40" spans="1:11">
      <c r="A40" s="3" t="s">
        <v>83</v>
      </c>
    </row>
    <row r="41" spans="1:11">
      <c r="A41" s="2" t="s">
        <v>84</v>
      </c>
    </row>
    <row r="42" spans="1:11" ht="30" customHeight="1">
      <c r="A42" s="6" t="s">
        <v>22</v>
      </c>
      <c r="B42" s="7" t="s">
        <v>85</v>
      </c>
      <c r="C42" s="7" t="s">
        <v>86</v>
      </c>
      <c r="D42" s="7" t="s">
        <v>87</v>
      </c>
      <c r="E42" s="7" t="s">
        <v>88</v>
      </c>
      <c r="F42" s="18"/>
      <c r="G42" s="7" t="s">
        <v>89</v>
      </c>
      <c r="H42" s="7" t="s">
        <v>90</v>
      </c>
    </row>
    <row r="43" spans="1:11">
      <c r="A43" s="8" t="s">
        <v>31</v>
      </c>
      <c r="B43" s="19">
        <f>SUMIFS('Raw Data'!$I$5:$I$36,'Raw Data'!$B$5:$B$36,"RDDT",'Raw Data'!$C$5:$C$36,$A43)</f>
        <v>97.2</v>
      </c>
      <c r="C43" s="19">
        <f>SUMIFS('Raw Data'!$I$5:$I$36,'Raw Data'!$B$5:$B$36,"PINS",'Raw Data'!$C$5:$C$36,$A43)</f>
        <v>537</v>
      </c>
      <c r="D43" s="19">
        <f>SUMIFS('Raw Data'!$I$5:$I$36,'Raw Data'!$B$5:$B$36,"DUOL",'Raw Data'!$C$5:$C$36,$A43)</f>
        <v>37.200000000000003</v>
      </c>
      <c r="E43" s="20">
        <f>IFERROR(C7/B43,"")</f>
        <v>3.5838580246913581</v>
      </c>
      <c r="G43" s="20">
        <f>IFERROR(D7/C43,"")</f>
        <v>1.6729478584729982</v>
      </c>
      <c r="H43" s="20">
        <f>IFERROR(E7/D43,"")</f>
        <v>5.1772580645161286</v>
      </c>
    </row>
    <row r="44" spans="1:11">
      <c r="A44" s="8" t="s">
        <v>35</v>
      </c>
      <c r="B44" s="19">
        <f>SUMIFS('Raw Data'!$I$5:$I$36,'Raw Data'!$B$5:$B$36,"RDDT",'Raw Data'!$C$5:$C$36,$A44)</f>
        <v>101.7</v>
      </c>
      <c r="C44" s="19">
        <f>SUMIFS('Raw Data'!$I$5:$I$36,'Raw Data'!$B$5:$B$36,"PINS",'Raw Data'!$C$5:$C$36,$A44)</f>
        <v>553</v>
      </c>
      <c r="D44" s="19">
        <f>SUMIFS('Raw Data'!$I$5:$I$36,'Raw Data'!$B$5:$B$36,"DUOL",'Raw Data'!$C$5:$C$36,$A44)</f>
        <v>40.5</v>
      </c>
      <c r="E44" s="20">
        <f>IFERROR(C8/B44,"")</f>
        <v>4.2055063913470994</v>
      </c>
      <c r="G44" s="20">
        <f>IFERROR(D8/C44,"")</f>
        <v>2.0870343580470165</v>
      </c>
      <c r="H44" s="20">
        <f>IFERROR(E8/D44,"")</f>
        <v>5.174074074074074</v>
      </c>
    </row>
    <row r="45" spans="1:11">
      <c r="A45" s="8" t="s">
        <v>38</v>
      </c>
      <c r="B45" s="19">
        <f>SUMIFS('Raw Data'!$I$5:$I$36,'Raw Data'!$B$5:$B$36,"RDDT",'Raw Data'!$C$5:$C$36,$A45)</f>
        <v>108.1</v>
      </c>
      <c r="C45" s="19">
        <f>SUMIFS('Raw Data'!$I$5:$I$36,'Raw Data'!$B$5:$B$36,"PINS",'Raw Data'!$C$5:$C$36,$A45)</f>
        <v>570</v>
      </c>
      <c r="D45" s="19">
        <f>SUMIFS('Raw Data'!$I$5:$I$36,'Raw Data'!$B$5:$B$36,"DUOL",'Raw Data'!$C$5:$C$36,$A45)</f>
        <v>46.6</v>
      </c>
      <c r="E45" s="20">
        <f>IFERROR(C9/B45,"")</f>
        <v>3.6296114708603144</v>
      </c>
      <c r="G45" s="20">
        <f>IFERROR(D9/C45,"")</f>
        <v>1.4999789473684211</v>
      </c>
      <c r="H45" s="20">
        <f>IFERROR(E9/D45,"")</f>
        <v>4.95156652360515</v>
      </c>
    </row>
    <row r="46" spans="1:11">
      <c r="A46" s="8" t="s">
        <v>41</v>
      </c>
      <c r="B46" s="19">
        <f>SUMIFS('Raw Data'!$I$5:$I$36,'Raw Data'!$B$5:$B$36,"RDDT",'Raw Data'!$C$5:$C$36,$A46)</f>
        <v>110.4</v>
      </c>
      <c r="C46" s="19">
        <f>SUMIFS('Raw Data'!$I$5:$I$36,'Raw Data'!$B$5:$B$36,"PINS",'Raw Data'!$C$5:$C$36,$A46)</f>
        <v>578</v>
      </c>
      <c r="D46" s="19">
        <f>SUMIFS('Raw Data'!$I$5:$I$36,'Raw Data'!$B$5:$B$36,"DUOL",'Raw Data'!$C$5:$C$36,$A46)</f>
        <v>47.7</v>
      </c>
      <c r="E46" s="20">
        <f>IFERROR(C10/B46,"")</f>
        <v>4.5256068840579706</v>
      </c>
      <c r="G46" s="20">
        <f>IFERROR(D10/C46,"")</f>
        <v>1.7270363321799307</v>
      </c>
      <c r="H46" s="20">
        <f>IFERROR(E10/D46,"")</f>
        <v>5.2885744234800836</v>
      </c>
    </row>
    <row r="47" spans="1:11">
      <c r="A47" s="8" t="s">
        <v>44</v>
      </c>
      <c r="B47" s="19">
        <f>SUMIFS('Raw Data'!$I$5:$I$36,'Raw Data'!$B$5:$B$36,"RDDT",'Raw Data'!$C$5:$C$36,$A47)</f>
        <v>116</v>
      </c>
      <c r="C47" s="19">
        <f>SUMIFS('Raw Data'!$I$5:$I$36,'Raw Data'!$B$5:$B$36,"PINS",'Raw Data'!$C$5:$C$36,$A47)</f>
        <v>600</v>
      </c>
      <c r="D47" s="19">
        <f>SUMIFS('Raw Data'!$I$5:$I$36,'Raw Data'!$B$5:$B$36,"DUOL",'Raw Data'!$C$5:$C$36,$A47)</f>
        <v>50.5</v>
      </c>
      <c r="E47" s="20">
        <f>IFERROR(C11/B47,"")</f>
        <v>5.0423362068965512</v>
      </c>
      <c r="G47" s="20">
        <f>IFERROR(D11/C47,"")</f>
        <v>1.748675</v>
      </c>
      <c r="H47" s="20">
        <f>IFERROR(E11/D47,"")</f>
        <v>5.3804554455445546</v>
      </c>
    </row>
    <row r="48" spans="1:11">
      <c r="A48" s="8" t="s">
        <v>4</v>
      </c>
      <c r="B48" s="19">
        <f>SUMIFS('Raw Data'!$I$5:$I$36,'Raw Data'!$B$5:$B$36,"RDDT",'Raw Data'!$C$5:$C$36,$A48)</f>
        <v>121.4</v>
      </c>
      <c r="C48" s="19">
        <f>SUMIFS('Raw Data'!$I$5:$I$36,'Raw Data'!$B$5:$B$36,"PINS",'Raw Data'!$C$5:$C$36,$A48)</f>
        <v>619</v>
      </c>
      <c r="D48" s="19">
        <f>SUMIFS('Raw Data'!$I$5:$I$36,'Raw Data'!$B$5:$B$36,"DUOL",'Raw Data'!$C$5:$C$36,$A48)</f>
        <v>52.7</v>
      </c>
      <c r="E48" s="20">
        <f>IFERROR(C12/B48,"")</f>
        <v>5.9769357495881383</v>
      </c>
      <c r="G48" s="20">
        <f>IFERROR(D12/C48,"")</f>
        <v>2.1314168012924073</v>
      </c>
      <c r="H48" s="20">
        <f>IFERROR(E12/D48,"")</f>
        <v>5.3675142314990509</v>
      </c>
    </row>
    <row r="49" spans="1:11">
      <c r="A49" s="8" t="s">
        <v>47</v>
      </c>
      <c r="B49" s="19">
        <f>SUMIFS('Raw Data'!$I$5:$I$36,'Raw Data'!$B$5:$B$36,"RDDT",'Raw Data'!$C$5:$C$36,$A49)</f>
        <v>126.8</v>
      </c>
      <c r="C49" s="19">
        <f>SUMIFS('Raw Data'!$I$5:$I$36,'Raw Data'!$B$5:$B$36,"PINS",'Raw Data'!$C$5:$C$36,$A49)</f>
        <v>631</v>
      </c>
      <c r="D49" s="19">
        <f>SUMIFS('Raw Data'!$I$5:$I$36,'Raw Data'!$B$5:$B$36,"DUOL",'Raw Data'!$C$5:$C$36,$A49)</f>
        <v>56.5</v>
      </c>
      <c r="E49" s="20">
        <f>IFERROR(C13/B49,"")</f>
        <v>5.2319479495268135</v>
      </c>
      <c r="G49" s="20">
        <f>IFERROR(D13/C49,"")</f>
        <v>1.5966941362916007</v>
      </c>
      <c r="H49" s="20">
        <f>IFERROR(E13/D49,"")</f>
        <v>5.1675575221238939</v>
      </c>
    </row>
    <row r="50" spans="1:11">
      <c r="A50" s="8" t="s">
        <v>49</v>
      </c>
      <c r="B50" s="19">
        <f>SUMIFS('Raw Data'!$I$5:$I$36,'Raw Data'!$B$5:$B$36,"RDDT",'Raw Data'!$C$5:$C$36,$A50)</f>
        <v>130.30000000000001</v>
      </c>
      <c r="C50" s="19">
        <f>SUMIFS('Raw Data'!$I$5:$I$36,'Raw Data'!$B$5:$B$36,"PINS",'Raw Data'!$C$5:$C$36,$A50)</f>
        <v>640</v>
      </c>
      <c r="D50" s="19">
        <f>SUMIFS('Raw Data'!$I$5:$I$36,'Raw Data'!$B$5:$B$36,"DUOL",'Raw Data'!$C$5:$C$36,$A50)</f>
        <v>58.7</v>
      </c>
      <c r="E50" s="20">
        <f>IFERROR(C14/B50,"")</f>
        <v>6.1773215656178042</v>
      </c>
      <c r="G50" s="20">
        <f>IFERROR(D14/C50,"")</f>
        <v>1.843209375</v>
      </c>
      <c r="H50" s="20">
        <f>IFERROR(E14/D50,"")</f>
        <v>5.084395229982964</v>
      </c>
    </row>
    <row r="53" spans="1:11">
      <c r="A53" s="3" t="s">
        <v>91</v>
      </c>
      <c r="G53" s="3" t="s">
        <v>92</v>
      </c>
    </row>
    <row r="54" spans="1:11">
      <c r="A54" s="2" t="s">
        <v>93</v>
      </c>
      <c r="G54" s="2" t="s">
        <v>94</v>
      </c>
    </row>
    <row r="55" spans="1:11">
      <c r="A55" s="6" t="s">
        <v>20</v>
      </c>
      <c r="B55" s="7" t="s">
        <v>12</v>
      </c>
      <c r="C55" s="7" t="s">
        <v>95</v>
      </c>
      <c r="D55" s="7" t="s">
        <v>96</v>
      </c>
      <c r="G55" s="6" t="s">
        <v>20</v>
      </c>
      <c r="H55" s="7" t="s">
        <v>97</v>
      </c>
      <c r="I55" s="7" t="s">
        <v>98</v>
      </c>
      <c r="J55" s="7" t="s">
        <v>99</v>
      </c>
      <c r="K55" s="7" t="s">
        <v>100</v>
      </c>
    </row>
    <row r="56" spans="1:11">
      <c r="A56" s="8" t="s">
        <v>8</v>
      </c>
      <c r="B56" s="16">
        <f>C14/C10-1</f>
        <v>0.61101181481385103</v>
      </c>
      <c r="C56" s="16">
        <f>B50/B46-1</f>
        <v>0.18025362318840576</v>
      </c>
      <c r="D56" s="16">
        <f>B56-C56</f>
        <v>0.43075819162544526</v>
      </c>
      <c r="G56" s="8" t="s">
        <v>7</v>
      </c>
      <c r="H56" s="21">
        <v>2055</v>
      </c>
      <c r="I56" s="21">
        <v>2085</v>
      </c>
      <c r="J56" s="22">
        <f>AVERAGE(H56:I56)</f>
        <v>2070</v>
      </c>
      <c r="K56" s="16">
        <f>J56/B11-1</f>
        <v>0.47326242220000059</v>
      </c>
    </row>
    <row r="57" spans="1:11">
      <c r="A57" s="8" t="s">
        <v>9</v>
      </c>
      <c r="B57" s="16">
        <f>D14/D10-1</f>
        <v>0.18174924140501103</v>
      </c>
      <c r="C57" s="16">
        <f>C50/C46-1</f>
        <v>0.10726643598615926</v>
      </c>
      <c r="D57" s="16">
        <f>B57-C57</f>
        <v>7.4482805418851772E-2</v>
      </c>
      <c r="G57" s="8" t="s">
        <v>8</v>
      </c>
      <c r="H57" s="21">
        <v>860</v>
      </c>
      <c r="I57" s="21">
        <v>870</v>
      </c>
      <c r="J57" s="22">
        <f>AVERAGE(H57:I57)</f>
        <v>865</v>
      </c>
      <c r="K57" s="16">
        <f>J57/C11-1</f>
        <v>0.47885746720441236</v>
      </c>
    </row>
    <row r="58" spans="1:11">
      <c r="A58" s="8" t="s">
        <v>10</v>
      </c>
      <c r="B58" s="16">
        <f>E14/E10-1</f>
        <v>0.18309713991239374</v>
      </c>
      <c r="C58" s="16">
        <f>D50/D46-1</f>
        <v>0.23060796645702308</v>
      </c>
      <c r="D58" s="16">
        <f>B58-C58</f>
        <v>-4.7510826544629348E-2</v>
      </c>
      <c r="G58" s="8" t="s">
        <v>9</v>
      </c>
      <c r="H58" s="21">
        <v>1190</v>
      </c>
      <c r="I58" s="21">
        <v>1210</v>
      </c>
      <c r="J58" s="22">
        <f>AVERAGE(H58:I58)</f>
        <v>1200</v>
      </c>
      <c r="K58" s="16">
        <f>J58/D11-1</f>
        <v>0.14372310463636762</v>
      </c>
    </row>
    <row r="59" spans="1:11">
      <c r="G59" s="8" t="s">
        <v>10</v>
      </c>
      <c r="H59" s="21">
        <v>302</v>
      </c>
      <c r="I59" s="21">
        <v>302</v>
      </c>
      <c r="J59" s="22">
        <f>AVERAGE(H59:I59)</f>
        <v>302</v>
      </c>
      <c r="K59" s="16">
        <f>J59/E11-1</f>
        <v>0.11146687865505145</v>
      </c>
    </row>
    <row r="60" spans="1:11">
      <c r="G60" s="2" t="s">
        <v>101</v>
      </c>
    </row>
  </sheetData>
  <conditionalFormatting sqref="B19:E25">
    <cfRule type="cellIs" dxfId="0" priority="2" operator="lessThan">
      <formula>0</formula>
    </cfRule>
  </conditionalFormatting>
  <conditionalFormatting sqref="H19:K22">
    <cfRule type="colorScale" priority="3">
      <colorScale>
        <cfvo type="min"/>
        <cfvo type="max"/>
        <color rgb="FFFFFFFF"/>
        <color rgb="FF9BC2E6"/>
      </colorScale>
    </cfRule>
  </conditionalFormatting>
  <conditionalFormatting sqref="B30:E37">
    <cfRule type="colorScale" priority="4">
      <colorScale>
        <cfvo type="min"/>
        <cfvo type="max"/>
        <color rgb="FFFFFFFF"/>
        <color rgb="FFA9D08E"/>
      </colorScale>
    </cfRule>
  </conditionalFormatting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5"/>
  <sheetViews>
    <sheetView showGridLines="0" topLeftCell="A8" zoomScaleNormal="100" workbookViewId="0"/>
  </sheetViews>
  <sheetFormatPr defaultColWidth="8.7109375" defaultRowHeight="15"/>
  <cols>
    <col min="1" max="1" width="14" customWidth="1"/>
    <col min="2" max="5" width="13" customWidth="1"/>
    <col min="6" max="6" width="3" customWidth="1"/>
    <col min="7" max="9" width="13" customWidth="1"/>
  </cols>
  <sheetData>
    <row r="1" spans="1:9" ht="19.7">
      <c r="A1" s="1" t="s">
        <v>102</v>
      </c>
    </row>
    <row r="2" spans="1:9">
      <c r="A2" s="2" t="s">
        <v>103</v>
      </c>
    </row>
    <row r="4" spans="1:9">
      <c r="A4" s="6" t="s">
        <v>22</v>
      </c>
      <c r="B4" s="7" t="s">
        <v>104</v>
      </c>
      <c r="C4" s="7" t="s">
        <v>105</v>
      </c>
      <c r="D4" s="7" t="s">
        <v>106</v>
      </c>
      <c r="E4" s="7" t="s">
        <v>107</v>
      </c>
      <c r="G4" s="6" t="s">
        <v>108</v>
      </c>
      <c r="H4" s="7" t="s">
        <v>109</v>
      </c>
      <c r="I4" s="7" t="s">
        <v>110</v>
      </c>
    </row>
    <row r="5" spans="1:9">
      <c r="A5" s="8" t="s">
        <v>31</v>
      </c>
      <c r="B5" s="21">
        <v>719</v>
      </c>
      <c r="C5" s="21">
        <v>137</v>
      </c>
      <c r="D5" s="21">
        <v>42</v>
      </c>
      <c r="E5" s="22">
        <f>SUM(B5:D5)</f>
        <v>898</v>
      </c>
      <c r="G5" s="16">
        <f>(C5+D5)/E5</f>
        <v>0.19933184855233854</v>
      </c>
      <c r="H5" s="16"/>
      <c r="I5" s="16"/>
    </row>
    <row r="6" spans="1:9">
      <c r="A6" s="8" t="s">
        <v>35</v>
      </c>
      <c r="B6" s="21">
        <v>900</v>
      </c>
      <c r="C6" s="21">
        <v>196</v>
      </c>
      <c r="D6" s="21">
        <v>58</v>
      </c>
      <c r="E6" s="22">
        <f>SUM(B6:D6)</f>
        <v>1154</v>
      </c>
      <c r="G6" s="16">
        <f>(C6+D6)/E6</f>
        <v>0.22010398613518198</v>
      </c>
      <c r="H6" s="16"/>
      <c r="I6" s="16"/>
    </row>
    <row r="7" spans="1:9">
      <c r="A7" s="8" t="s">
        <v>38</v>
      </c>
      <c r="B7" s="21">
        <v>663</v>
      </c>
      <c r="C7" s="21">
        <v>147</v>
      </c>
      <c r="D7" s="21">
        <v>45</v>
      </c>
      <c r="E7" s="22">
        <f>SUM(B7:D7)</f>
        <v>855</v>
      </c>
      <c r="G7" s="16">
        <f>(C7+D7)/E7</f>
        <v>0.22456140350877193</v>
      </c>
      <c r="H7" s="16"/>
      <c r="I7" s="16"/>
    </row>
    <row r="8" spans="1:9">
      <c r="A8" s="8" t="s">
        <v>41</v>
      </c>
      <c r="B8" s="21">
        <v>745</v>
      </c>
      <c r="C8" s="21">
        <v>191</v>
      </c>
      <c r="D8" s="21">
        <v>63</v>
      </c>
      <c r="E8" s="22">
        <f>SUM(B8:D8)</f>
        <v>999</v>
      </c>
      <c r="G8" s="16">
        <f>(C8+D8)/E8</f>
        <v>0.25425425425425424</v>
      </c>
      <c r="H8" s="16"/>
      <c r="I8" s="16"/>
    </row>
    <row r="9" spans="1:9">
      <c r="A9" s="8" t="s">
        <v>44</v>
      </c>
      <c r="B9" s="21">
        <v>786</v>
      </c>
      <c r="C9" s="21">
        <v>193</v>
      </c>
      <c r="D9" s="21">
        <v>70</v>
      </c>
      <c r="E9" s="22">
        <f>SUM(B9:D9)</f>
        <v>1049</v>
      </c>
      <c r="G9" s="16">
        <f>(C9+D9)/E9</f>
        <v>0.25071496663489035</v>
      </c>
      <c r="H9" s="16">
        <f>IF(ROW()-ROW($A$5)&gt;=4,C9/C5-1,"")</f>
        <v>0.40875912408759119</v>
      </c>
      <c r="I9" s="16">
        <f>IF(ROW()-ROW($A$5)&gt;=4,D9/D5-1,"")</f>
        <v>0.66666666666666674</v>
      </c>
    </row>
    <row r="10" spans="1:9">
      <c r="A10" s="8" t="s">
        <v>4</v>
      </c>
      <c r="B10" s="21">
        <v>979</v>
      </c>
      <c r="C10" s="21">
        <v>245</v>
      </c>
      <c r="D10" s="21">
        <v>96</v>
      </c>
      <c r="E10" s="22">
        <f>SUM(B10:D10)</f>
        <v>1320</v>
      </c>
      <c r="G10" s="16">
        <f>(C10+D10)/E10</f>
        <v>0.25833333333333336</v>
      </c>
      <c r="H10" s="16">
        <f>IF(ROW()-ROW($A$5)&gt;=4,C10/C6-1,"")</f>
        <v>0.25</v>
      </c>
      <c r="I10" s="16">
        <f>IF(ROW()-ROW($A$5)&gt;=4,D10/D6-1,"")</f>
        <v>0.65517241379310343</v>
      </c>
    </row>
    <row r="11" spans="1:9">
      <c r="A11" s="8" t="s">
        <v>47</v>
      </c>
      <c r="B11" s="21">
        <v>750</v>
      </c>
      <c r="C11" s="21">
        <v>186</v>
      </c>
      <c r="D11" s="21">
        <v>72</v>
      </c>
      <c r="E11" s="22">
        <f>SUM(B11:D11)</f>
        <v>1008</v>
      </c>
      <c r="G11" s="16">
        <f>(C11+D11)/E11</f>
        <v>0.25595238095238093</v>
      </c>
      <c r="H11" s="16">
        <f>IF(ROW()-ROW($A$5)&gt;=4,C11/C7-1,"")</f>
        <v>0.26530612244897966</v>
      </c>
      <c r="I11" s="16">
        <f>IF(ROW()-ROW($A$5)&gt;=4,D11/D7-1,"")</f>
        <v>0.60000000000000009</v>
      </c>
    </row>
    <row r="12" spans="1:9">
      <c r="A12" s="8" t="s">
        <v>49</v>
      </c>
      <c r="B12" s="21">
        <v>880</v>
      </c>
      <c r="C12" s="21">
        <v>213</v>
      </c>
      <c r="D12" s="21">
        <v>87</v>
      </c>
      <c r="E12" s="22">
        <f>SUM(B12:D12)</f>
        <v>1180</v>
      </c>
      <c r="G12" s="16">
        <f>(C12+D12)/E12</f>
        <v>0.25423728813559321</v>
      </c>
      <c r="H12" s="16">
        <f>IF(ROW()-ROW($A$5)&gt;=4,C12/C8-1,"")</f>
        <v>0.11518324607329844</v>
      </c>
      <c r="I12" s="16">
        <f>IF(ROW()-ROW($A$5)&gt;=4,D12/D8-1,"")</f>
        <v>0.38095238095238093</v>
      </c>
    </row>
    <row r="14" spans="1:9">
      <c r="A14" s="4" t="s">
        <v>111</v>
      </c>
    </row>
    <row r="15" spans="1:9">
      <c r="A15" s="11" t="s">
        <v>112</v>
      </c>
      <c r="B15" s="23">
        <f>MAX(ABS(E5-SUMIFS('Raw Data'!$F$5:$F$36,'Raw Data'!$B$5:$B$36,"PINS",'Raw Data'!$C$5:$C$36,A5)),ABS(E6-SUMIFS('Raw Data'!$F$5:$F$36,'Raw Data'!$B$5:$B$36,"PINS",'Raw Data'!$C$5:$C$36,A6)),ABS(E7-SUMIFS('Raw Data'!$F$5:$F$36,'Raw Data'!$B$5:$B$36,"PINS",'Raw Data'!$C$5:$C$36,A7)),ABS(E8-SUMIFS('Raw Data'!$F$5:$F$36,'Raw Data'!$B$5:$B$36,"PINS",'Raw Data'!$C$5:$C$36,A8)),ABS(E9-SUMIFS('Raw Data'!$F$5:$F$36,'Raw Data'!$B$5:$B$36,"PINS",'Raw Data'!$C$5:$C$36,A9)),ABS(E10-SUMIFS('Raw Data'!$F$5:$F$36,'Raw Data'!$B$5:$B$36,"PINS",'Raw Data'!$C$5:$C$36,A10)),ABS(E11-SUMIFS('Raw Data'!$F$5:$F$36,'Raw Data'!$B$5:$B$36,"PINS",'Raw Data'!$C$5:$C$36,A11)),ABS(E12-SUMIFS('Raw Data'!$F$5:$F$36,'Raw Data'!$B$5:$B$36,"PINS",'Raw Data'!$C$5:$C$36,A12)))</f>
        <v>0.77300000000002456</v>
      </c>
      <c r="C15" s="2" t="s">
        <v>113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8"/>
  <sheetViews>
    <sheetView showGridLines="0" zoomScaleNormal="100" workbookViewId="0">
      <selection activeCell="C27" sqref="C27"/>
    </sheetView>
  </sheetViews>
  <sheetFormatPr defaultColWidth="8.7109375" defaultRowHeight="15"/>
  <cols>
    <col min="1" max="1" width="12" customWidth="1"/>
    <col min="2" max="2" width="46" customWidth="1"/>
    <col min="3" max="3" width="110" customWidth="1"/>
  </cols>
  <sheetData>
    <row r="1" spans="1:3" ht="19.7">
      <c r="A1" s="1" t="s">
        <v>114</v>
      </c>
    </row>
    <row r="2" spans="1:3">
      <c r="A2" s="2" t="s">
        <v>115</v>
      </c>
    </row>
    <row r="4" spans="1:3">
      <c r="A4" s="6" t="s">
        <v>116</v>
      </c>
      <c r="B4" s="7" t="s">
        <v>117</v>
      </c>
      <c r="C4" s="7" t="s">
        <v>118</v>
      </c>
    </row>
    <row r="5" spans="1:3">
      <c r="A5" s="11" t="s">
        <v>34</v>
      </c>
      <c r="B5" s="11" t="s">
        <v>119</v>
      </c>
      <c r="C5" s="24" t="s">
        <v>120</v>
      </c>
    </row>
    <row r="6" spans="1:3">
      <c r="A6" s="11" t="s">
        <v>37</v>
      </c>
      <c r="B6" s="11" t="s">
        <v>121</v>
      </c>
      <c r="C6" s="24" t="s">
        <v>122</v>
      </c>
    </row>
    <row r="7" spans="1:3">
      <c r="A7" s="11" t="s">
        <v>40</v>
      </c>
      <c r="B7" s="11" t="s">
        <v>123</v>
      </c>
      <c r="C7" s="24" t="s">
        <v>124</v>
      </c>
    </row>
    <row r="8" spans="1:3">
      <c r="A8" s="11" t="s">
        <v>43</v>
      </c>
      <c r="B8" s="11" t="s">
        <v>125</v>
      </c>
      <c r="C8" s="24" t="s">
        <v>126</v>
      </c>
    </row>
    <row r="9" spans="1:3">
      <c r="A9" s="11" t="s">
        <v>53</v>
      </c>
      <c r="B9" s="11" t="s">
        <v>127</v>
      </c>
      <c r="C9" s="24" t="s">
        <v>128</v>
      </c>
    </row>
    <row r="10" spans="1:3">
      <c r="A10" s="11" t="s">
        <v>54</v>
      </c>
      <c r="B10" s="11" t="s">
        <v>129</v>
      </c>
      <c r="C10" s="24" t="s">
        <v>130</v>
      </c>
    </row>
    <row r="11" spans="1:3">
      <c r="A11" s="11" t="s">
        <v>55</v>
      </c>
      <c r="B11" s="11" t="s">
        <v>131</v>
      </c>
      <c r="C11" s="24" t="s">
        <v>132</v>
      </c>
    </row>
    <row r="12" spans="1:3">
      <c r="A12" s="11" t="s">
        <v>56</v>
      </c>
      <c r="B12" s="11" t="s">
        <v>133</v>
      </c>
      <c r="C12" s="24" t="s">
        <v>134</v>
      </c>
    </row>
    <row r="13" spans="1:3">
      <c r="A13" s="11" t="s">
        <v>59</v>
      </c>
      <c r="B13" s="11" t="s">
        <v>135</v>
      </c>
      <c r="C13" s="24" t="s">
        <v>136</v>
      </c>
    </row>
    <row r="14" spans="1:3">
      <c r="A14" s="11" t="s">
        <v>60</v>
      </c>
      <c r="B14" s="11" t="s">
        <v>137</v>
      </c>
      <c r="C14" s="24" t="s">
        <v>138</v>
      </c>
    </row>
    <row r="15" spans="1:3">
      <c r="A15" s="11" t="s">
        <v>61</v>
      </c>
      <c r="B15" s="11" t="s">
        <v>139</v>
      </c>
      <c r="C15" s="24" t="s">
        <v>140</v>
      </c>
    </row>
    <row r="16" spans="1:3">
      <c r="A16" s="11" t="s">
        <v>62</v>
      </c>
      <c r="B16" s="11" t="s">
        <v>141</v>
      </c>
      <c r="C16" s="24" t="s">
        <v>142</v>
      </c>
    </row>
    <row r="17" spans="1:3">
      <c r="A17" s="11" t="s">
        <v>65</v>
      </c>
      <c r="B17" s="11" t="s">
        <v>143</v>
      </c>
      <c r="C17" s="24" t="s">
        <v>144</v>
      </c>
    </row>
    <row r="18" spans="1:3">
      <c r="A18" s="11" t="s">
        <v>66</v>
      </c>
      <c r="B18" s="11" t="s">
        <v>145</v>
      </c>
      <c r="C18" s="24" t="s">
        <v>146</v>
      </c>
    </row>
    <row r="19" spans="1:3">
      <c r="A19" s="11" t="s">
        <v>67</v>
      </c>
      <c r="B19" s="11" t="s">
        <v>147</v>
      </c>
      <c r="C19" s="24" t="s">
        <v>148</v>
      </c>
    </row>
    <row r="20" spans="1:3">
      <c r="A20" s="11" t="s">
        <v>68</v>
      </c>
      <c r="B20" s="11" t="s">
        <v>149</v>
      </c>
      <c r="C20" s="24" t="s">
        <v>150</v>
      </c>
    </row>
    <row r="23" spans="1:3">
      <c r="A23" s="3" t="s">
        <v>151</v>
      </c>
    </row>
    <row r="24" spans="1:3">
      <c r="A24" s="4" t="s">
        <v>152</v>
      </c>
      <c r="B24" s="11" t="s">
        <v>153</v>
      </c>
    </row>
    <row r="25" spans="1:3">
      <c r="A25" s="4" t="s">
        <v>52</v>
      </c>
      <c r="B25" s="11" t="s">
        <v>154</v>
      </c>
    </row>
    <row r="26" spans="1:3">
      <c r="A26" s="4" t="s">
        <v>155</v>
      </c>
      <c r="B26" s="11" t="s">
        <v>156</v>
      </c>
    </row>
    <row r="27" spans="1:3">
      <c r="A27" s="4" t="s">
        <v>157</v>
      </c>
      <c r="B27" s="11" t="s">
        <v>158</v>
      </c>
    </row>
    <row r="28" spans="1:3">
      <c r="A28" s="4" t="s">
        <v>159</v>
      </c>
      <c r="B28" s="11" t="s">
        <v>160</v>
      </c>
    </row>
  </sheetData>
  <hyperlinks>
    <hyperlink ref="C5" r:id="rId1" xr:uid="{00000000-0004-0000-0400-000000000000}"/>
    <hyperlink ref="C6" r:id="rId2" xr:uid="{00000000-0004-0000-0400-000001000000}"/>
    <hyperlink ref="C7" r:id="rId3" xr:uid="{00000000-0004-0000-0400-000002000000}"/>
    <hyperlink ref="C8" r:id="rId4" xr:uid="{00000000-0004-0000-0400-000003000000}"/>
    <hyperlink ref="C9" r:id="rId5" xr:uid="{00000000-0004-0000-0400-000004000000}"/>
    <hyperlink ref="C10" r:id="rId6" xr:uid="{00000000-0004-0000-0400-000005000000}"/>
    <hyperlink ref="C11" r:id="rId7" xr:uid="{00000000-0004-0000-0400-000006000000}"/>
    <hyperlink ref="C12" r:id="rId8" xr:uid="{00000000-0004-0000-0400-000007000000}"/>
    <hyperlink ref="C13" r:id="rId9" xr:uid="{00000000-0004-0000-0400-000008000000}"/>
    <hyperlink ref="C14" r:id="rId10" xr:uid="{00000000-0004-0000-0400-000009000000}"/>
    <hyperlink ref="C15" r:id="rId11" xr:uid="{00000000-0004-0000-0400-00000A000000}"/>
    <hyperlink ref="C16" r:id="rId12" xr:uid="{00000000-0004-0000-0400-00000B000000}"/>
    <hyperlink ref="C17" r:id="rId13" xr:uid="{00000000-0004-0000-0400-00000C000000}"/>
    <hyperlink ref="C18" r:id="rId14" xr:uid="{00000000-0004-0000-0400-00000D000000}"/>
    <hyperlink ref="C19" r:id="rId15" xr:uid="{00000000-0004-0000-0400-00000E000000}"/>
    <hyperlink ref="C20" r:id="rId16" xr:uid="{00000000-0004-0000-0400-00000F000000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Nithya Bharadia</cp:lastModifiedBy>
  <cp:revision>1</cp:revision>
  <dcterms:created xsi:type="dcterms:W3CDTF">2026-10-21T21:11:21Z</dcterms:created>
  <dcterms:modified xsi:type="dcterms:W3CDTF">2026-10-21T22:00:08Z</dcterms:modified>
  <cp:category/>
  <cp:contentStatus/>
</cp:coreProperties>
</file>